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7ed83baa0155eb/"/>
    </mc:Choice>
  </mc:AlternateContent>
  <xr:revisionPtr revIDLastSave="478" documentId="8_{68A422B8-E969-4305-AD36-F95A7796AC1A}" xr6:coauthVersionLast="47" xr6:coauthVersionMax="47" xr10:uidLastSave="{BEFACB7C-2745-4A07-9F2F-63982C4C8E46}"/>
  <bookViews>
    <workbookView xWindow="-108" yWindow="-108" windowWidth="23256" windowHeight="13896" activeTab="2" xr2:uid="{BF497589-4605-42D4-BDD3-D888582B5908}"/>
  </bookViews>
  <sheets>
    <sheet name="Sheet1" sheetId="1" r:id="rId1"/>
    <sheet name="Sheet2" sheetId="2" r:id="rId2"/>
    <sheet name="Sheet3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" i="3" l="1"/>
  <c r="F49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P28" i="3"/>
  <c r="P27" i="3"/>
  <c r="P26" i="3"/>
  <c r="P25" i="3"/>
  <c r="C40" i="3"/>
  <c r="C42" i="3"/>
  <c r="C38" i="3"/>
  <c r="C36" i="3"/>
  <c r="C34" i="3"/>
  <c r="C32" i="3"/>
  <c r="C30" i="3"/>
  <c r="C28" i="3"/>
  <c r="C26" i="3"/>
  <c r="C24" i="3"/>
  <c r="C22" i="3"/>
  <c r="C20" i="3"/>
  <c r="C8" i="3"/>
  <c r="C43" i="3"/>
  <c r="C39" i="3"/>
  <c r="C35" i="3"/>
  <c r="C31" i="3"/>
  <c r="C27" i="3"/>
  <c r="C23" i="3"/>
  <c r="C19" i="3"/>
  <c r="C17" i="3"/>
  <c r="C15" i="3"/>
  <c r="C14" i="3"/>
  <c r="C13" i="3"/>
  <c r="C12" i="3"/>
  <c r="C11" i="3"/>
  <c r="C9" i="3"/>
  <c r="C49" i="3"/>
  <c r="C48" i="3"/>
  <c r="C47" i="3"/>
  <c r="C46" i="3"/>
  <c r="C45" i="3"/>
  <c r="C44" i="3"/>
  <c r="C41" i="3"/>
  <c r="C37" i="3"/>
  <c r="C33" i="3"/>
  <c r="C29" i="3"/>
  <c r="C25" i="3"/>
  <c r="C21" i="3"/>
  <c r="C18" i="3"/>
  <c r="C16" i="3"/>
  <c r="C10" i="3"/>
  <c r="C7" i="3"/>
  <c r="C6" i="3"/>
  <c r="C5" i="3"/>
  <c r="C4" i="3"/>
  <c r="C3" i="3"/>
  <c r="C2" i="3"/>
  <c r="D54" i="2"/>
  <c r="E54" i="2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D23" i="2"/>
  <c r="E23" i="2" s="1"/>
  <c r="D24" i="2"/>
  <c r="E24" i="2" s="1"/>
  <c r="D29" i="2"/>
  <c r="E29" i="2" s="1"/>
  <c r="D28" i="2"/>
  <c r="E28" i="2" s="1"/>
  <c r="D27" i="2"/>
  <c r="E27" i="2" s="1"/>
  <c r="D26" i="2"/>
  <c r="E26" i="2" s="1"/>
  <c r="D33" i="2"/>
  <c r="E33" i="2" s="1"/>
  <c r="D32" i="2"/>
  <c r="E32" i="2" s="1"/>
  <c r="D31" i="2"/>
  <c r="E31" i="2" s="1"/>
  <c r="D30" i="2"/>
  <c r="E30" i="2" s="1"/>
  <c r="D57" i="2"/>
  <c r="E57" i="2" s="1"/>
  <c r="D56" i="2"/>
  <c r="E56" i="2" s="1"/>
  <c r="D58" i="2"/>
  <c r="E58" i="2" s="1"/>
  <c r="D60" i="2"/>
  <c r="E60" i="2" s="1"/>
  <c r="D59" i="2"/>
  <c r="E59" i="2" s="1"/>
  <c r="D53" i="2"/>
  <c r="E53" i="2" s="1"/>
  <c r="D52" i="2"/>
  <c r="E52" i="2" s="1"/>
  <c r="D51" i="2"/>
  <c r="E51" i="2" s="1"/>
  <c r="D50" i="2"/>
  <c r="E50" i="2" s="1"/>
  <c r="D48" i="2"/>
  <c r="E48" i="2" s="1"/>
  <c r="D47" i="2"/>
  <c r="E47" i="2" s="1"/>
  <c r="D46" i="2"/>
  <c r="E46" i="2" s="1"/>
  <c r="D45" i="2"/>
  <c r="E45" i="2" s="1"/>
  <c r="D43" i="2"/>
  <c r="E43" i="2" s="1"/>
  <c r="D42" i="2"/>
  <c r="E42" i="2" s="1"/>
  <c r="D41" i="2"/>
  <c r="E41" i="2" s="1"/>
  <c r="D40" i="2"/>
  <c r="E40" i="2" s="1"/>
  <c r="D35" i="2"/>
  <c r="E35" i="2" s="1"/>
  <c r="D37" i="2"/>
  <c r="E37" i="2" s="1"/>
  <c r="D38" i="2"/>
  <c r="E38" i="2" s="1"/>
  <c r="D36" i="2"/>
  <c r="E36" i="2" s="1"/>
  <c r="D39" i="2"/>
  <c r="E39" i="2" s="1"/>
  <c r="D49" i="2"/>
  <c r="E49" i="2" s="1"/>
  <c r="D61" i="2"/>
  <c r="E61" i="2" s="1"/>
  <c r="D55" i="2"/>
  <c r="E55" i="2" s="1"/>
  <c r="D44" i="2"/>
  <c r="E44" i="2" s="1"/>
  <c r="D34" i="2"/>
  <c r="E34" i="2" s="1"/>
  <c r="D25" i="2"/>
  <c r="E25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D3" i="2"/>
  <c r="E3" i="2" s="1"/>
  <c r="D16" i="1"/>
</calcChain>
</file>

<file path=xl/sharedStrings.xml><?xml version="1.0" encoding="utf-8"?>
<sst xmlns="http://schemas.openxmlformats.org/spreadsheetml/2006/main" count="53" uniqueCount="49">
  <si>
    <t>2N7002</t>
  </si>
  <si>
    <t>Measured with FNIRST LCR-P1 tester</t>
  </si>
  <si>
    <t>Vth</t>
  </si>
  <si>
    <t>Rds</t>
  </si>
  <si>
    <t>Vth (V)</t>
  </si>
  <si>
    <t>Rds (Ohm)</t>
  </si>
  <si>
    <t>Cg (pF)</t>
  </si>
  <si>
    <t>Uf (mV)</t>
  </si>
  <si>
    <t>2SK3019</t>
  </si>
  <si>
    <t>LCSC (3,000)</t>
  </si>
  <si>
    <t>LCSC (6,000)</t>
  </si>
  <si>
    <t>JLCPCB(6,000)</t>
  </si>
  <si>
    <t>JLCPCB (3,000)</t>
  </si>
  <si>
    <t>LCSC stock</t>
  </si>
  <si>
    <t>JLCPCB stock</t>
  </si>
  <si>
    <t>LCSC Part#</t>
  </si>
  <si>
    <t>C2909905</t>
  </si>
  <si>
    <t>C7507460</t>
  </si>
  <si>
    <t>N-channel</t>
  </si>
  <si>
    <t>SP2006KT5</t>
  </si>
  <si>
    <t>C41355141</t>
  </si>
  <si>
    <t>P-channel</t>
  </si>
  <si>
    <t>???</t>
  </si>
  <si>
    <t>ES3139KW</t>
  </si>
  <si>
    <t>C7527984</t>
  </si>
  <si>
    <t>From datasheet</t>
  </si>
  <si>
    <t>1.0:2.5</t>
  </si>
  <si>
    <t>2.0:5.0 (Vgs=5V)</t>
  </si>
  <si>
    <t>Ciss</t>
  </si>
  <si>
    <t>0.8:1.5</t>
  </si>
  <si>
    <t>:8.0</t>
  </si>
  <si>
    <t>-0.35:-0.65:-1.00</t>
  </si>
  <si>
    <t>:0.65:0.75</t>
  </si>
  <si>
    <t>-0.35:-0.62:-1.20</t>
  </si>
  <si>
    <t>:0.58:0.85</t>
  </si>
  <si>
    <t>Kohm</t>
  </si>
  <si>
    <t>V</t>
  </si>
  <si>
    <t>uA</t>
  </si>
  <si>
    <t>Vgs</t>
  </si>
  <si>
    <t>I_D</t>
  </si>
  <si>
    <t>Vr</t>
  </si>
  <si>
    <t>R</t>
  </si>
  <si>
    <t>2N7000</t>
  </si>
  <si>
    <t>sqrt(I_d)</t>
  </si>
  <si>
    <t>Vgs(=Vds) [V]</t>
  </si>
  <si>
    <t>Id [uA]</t>
  </si>
  <si>
    <t>sqrt(Id)</t>
  </si>
  <si>
    <t>mAh</t>
  </si>
  <si>
    <t>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</si>
</sst>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"I_D / Vgs"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Sheet2!$B$3:$B$64</c:f>
              <c:numCache>
                <c:formatCode>General</c:formatCode>
                <c:ptCount val="6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0.7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  <c:pt idx="7">
                  <c:v>1.1000000000000001</c:v>
                </c:pt>
                <c:pt idx="8">
                  <c:v>1.2</c:v>
                </c:pt>
                <c:pt idx="9">
                  <c:v>1.3</c:v>
                </c:pt>
                <c:pt idx="10">
                  <c:v>1.4</c:v>
                </c:pt>
                <c:pt idx="11">
                  <c:v>1.5</c:v>
                </c:pt>
                <c:pt idx="12">
                  <c:v>1.6</c:v>
                </c:pt>
                <c:pt idx="13">
                  <c:v>1.61</c:v>
                </c:pt>
                <c:pt idx="14">
                  <c:v>1.62</c:v>
                </c:pt>
                <c:pt idx="15">
                  <c:v>1.63</c:v>
                </c:pt>
                <c:pt idx="16">
                  <c:v>1.64</c:v>
                </c:pt>
                <c:pt idx="17">
                  <c:v>1.65</c:v>
                </c:pt>
                <c:pt idx="18">
                  <c:v>1.66</c:v>
                </c:pt>
                <c:pt idx="19">
                  <c:v>1.67</c:v>
                </c:pt>
                <c:pt idx="20">
                  <c:v>1.68</c:v>
                </c:pt>
                <c:pt idx="21">
                  <c:v>1.69</c:v>
                </c:pt>
                <c:pt idx="22">
                  <c:v>1.7</c:v>
                </c:pt>
                <c:pt idx="23">
                  <c:v>1.71</c:v>
                </c:pt>
                <c:pt idx="24">
                  <c:v>1.72</c:v>
                </c:pt>
                <c:pt idx="25">
                  <c:v>1.73</c:v>
                </c:pt>
                <c:pt idx="26">
                  <c:v>1.74</c:v>
                </c:pt>
                <c:pt idx="27">
                  <c:v>1.75</c:v>
                </c:pt>
                <c:pt idx="28">
                  <c:v>1.77</c:v>
                </c:pt>
                <c:pt idx="29">
                  <c:v>1.78</c:v>
                </c:pt>
                <c:pt idx="30">
                  <c:v>1.79</c:v>
                </c:pt>
                <c:pt idx="31">
                  <c:v>1.8</c:v>
                </c:pt>
                <c:pt idx="32">
                  <c:v>1.81</c:v>
                </c:pt>
                <c:pt idx="33">
                  <c:v>1.82</c:v>
                </c:pt>
                <c:pt idx="34">
                  <c:v>1.83</c:v>
                </c:pt>
                <c:pt idx="35">
                  <c:v>1.84</c:v>
                </c:pt>
                <c:pt idx="36">
                  <c:v>1.85</c:v>
                </c:pt>
                <c:pt idx="37">
                  <c:v>1.86</c:v>
                </c:pt>
                <c:pt idx="38">
                  <c:v>1.87</c:v>
                </c:pt>
                <c:pt idx="39">
                  <c:v>1.88</c:v>
                </c:pt>
                <c:pt idx="40">
                  <c:v>1.89</c:v>
                </c:pt>
                <c:pt idx="41">
                  <c:v>1.9</c:v>
                </c:pt>
                <c:pt idx="42">
                  <c:v>1.91</c:v>
                </c:pt>
                <c:pt idx="43">
                  <c:v>1.92</c:v>
                </c:pt>
                <c:pt idx="44">
                  <c:v>1.93</c:v>
                </c:pt>
                <c:pt idx="45">
                  <c:v>1.94</c:v>
                </c:pt>
                <c:pt idx="46">
                  <c:v>1.95</c:v>
                </c:pt>
                <c:pt idx="47">
                  <c:v>1.96</c:v>
                </c:pt>
                <c:pt idx="48">
                  <c:v>1.97</c:v>
                </c:pt>
                <c:pt idx="49">
                  <c:v>1.98</c:v>
                </c:pt>
                <c:pt idx="50">
                  <c:v>1.99</c:v>
                </c:pt>
                <c:pt idx="51">
                  <c:v>1.9950000000000001</c:v>
                </c:pt>
                <c:pt idx="52">
                  <c:v>2</c:v>
                </c:pt>
                <c:pt idx="53">
                  <c:v>2.0009999999999999</c:v>
                </c:pt>
                <c:pt idx="54">
                  <c:v>2.0019999999999998</c:v>
                </c:pt>
                <c:pt idx="55">
                  <c:v>2.0049999999999999</c:v>
                </c:pt>
                <c:pt idx="56">
                  <c:v>2.0099999999999998</c:v>
                </c:pt>
                <c:pt idx="57">
                  <c:v>2.02</c:v>
                </c:pt>
                <c:pt idx="58">
                  <c:v>2.1</c:v>
                </c:pt>
              </c:numCache>
            </c:numRef>
          </c:xVal>
          <c:yVal>
            <c:numRef>
              <c:f>Sheet2!$D$3:$D$64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0.61538461538461542</c:v>
                </c:pt>
                <c:pt idx="4">
                  <c:v>0.92307692307692302</c:v>
                </c:pt>
                <c:pt idx="5">
                  <c:v>1.5384615384615385</c:v>
                </c:pt>
                <c:pt idx="6">
                  <c:v>1.846153846153846</c:v>
                </c:pt>
                <c:pt idx="7">
                  <c:v>2.1538461538461537</c:v>
                </c:pt>
                <c:pt idx="8">
                  <c:v>2.7692307692307692</c:v>
                </c:pt>
                <c:pt idx="9">
                  <c:v>3.0769230769230771</c:v>
                </c:pt>
                <c:pt idx="10">
                  <c:v>3.6923076923076921</c:v>
                </c:pt>
                <c:pt idx="11">
                  <c:v>4.9230769230769234</c:v>
                </c:pt>
                <c:pt idx="12">
                  <c:v>7.3846153846153841</c:v>
                </c:pt>
                <c:pt idx="13">
                  <c:v>7.6923076923076916</c:v>
                </c:pt>
                <c:pt idx="14">
                  <c:v>8</c:v>
                </c:pt>
                <c:pt idx="15">
                  <c:v>8.615384615384615</c:v>
                </c:pt>
                <c:pt idx="16">
                  <c:v>9.2307692307692299</c:v>
                </c:pt>
                <c:pt idx="17">
                  <c:v>10.153846153846153</c:v>
                </c:pt>
                <c:pt idx="18">
                  <c:v>10.76923076923077</c:v>
                </c:pt>
                <c:pt idx="19">
                  <c:v>11.692307692307693</c:v>
                </c:pt>
                <c:pt idx="20">
                  <c:v>12.923076923076922</c:v>
                </c:pt>
                <c:pt idx="21">
                  <c:v>13.846153846153845</c:v>
                </c:pt>
                <c:pt idx="22">
                  <c:v>15.384615384615383</c:v>
                </c:pt>
                <c:pt idx="23">
                  <c:v>16.615384615384613</c:v>
                </c:pt>
                <c:pt idx="24">
                  <c:v>18.153846153846153</c:v>
                </c:pt>
                <c:pt idx="25">
                  <c:v>20.307692307692307</c:v>
                </c:pt>
                <c:pt idx="26">
                  <c:v>22.153846153846153</c:v>
                </c:pt>
                <c:pt idx="27">
                  <c:v>24.615384615384617</c:v>
                </c:pt>
                <c:pt idx="28">
                  <c:v>30.461538461538463</c:v>
                </c:pt>
                <c:pt idx="29">
                  <c:v>34.15384615384616</c:v>
                </c:pt>
                <c:pt idx="30">
                  <c:v>37.846153846153847</c:v>
                </c:pt>
                <c:pt idx="31">
                  <c:v>43.07692307692308</c:v>
                </c:pt>
                <c:pt idx="32">
                  <c:v>47.692307692307693</c:v>
                </c:pt>
                <c:pt idx="33">
                  <c:v>53.846153846153854</c:v>
                </c:pt>
                <c:pt idx="34">
                  <c:v>60.307692307692307</c:v>
                </c:pt>
                <c:pt idx="35">
                  <c:v>67.692307692307679</c:v>
                </c:pt>
                <c:pt idx="36">
                  <c:v>76</c:v>
                </c:pt>
                <c:pt idx="37">
                  <c:v>84.615384615384613</c:v>
                </c:pt>
                <c:pt idx="38">
                  <c:v>95.999999999999986</c:v>
                </c:pt>
                <c:pt idx="39">
                  <c:v>107.69230769230771</c:v>
                </c:pt>
                <c:pt idx="40">
                  <c:v>120.92307692307692</c:v>
                </c:pt>
                <c:pt idx="41">
                  <c:v>136.30769230769229</c:v>
                </c:pt>
                <c:pt idx="42">
                  <c:v>151.07692307692307</c:v>
                </c:pt>
                <c:pt idx="43">
                  <c:v>171.38461538461539</c:v>
                </c:pt>
                <c:pt idx="44">
                  <c:v>192.30769230769232</c:v>
                </c:pt>
                <c:pt idx="45">
                  <c:v>215.69230769230768</c:v>
                </c:pt>
                <c:pt idx="46">
                  <c:v>246.15384615384613</c:v>
                </c:pt>
                <c:pt idx="47">
                  <c:v>275.38461538461536</c:v>
                </c:pt>
                <c:pt idx="48">
                  <c:v>308.92307692307691</c:v>
                </c:pt>
                <c:pt idx="49">
                  <c:v>347.07692307692309</c:v>
                </c:pt>
                <c:pt idx="50">
                  <c:v>390.76923076923077</c:v>
                </c:pt>
                <c:pt idx="51">
                  <c:v>413.84615384615387</c:v>
                </c:pt>
                <c:pt idx="52">
                  <c:v>553.84615384615381</c:v>
                </c:pt>
                <c:pt idx="53">
                  <c:v>861.53846153846166</c:v>
                </c:pt>
                <c:pt idx="54">
                  <c:v>1015.3846153846155</c:v>
                </c:pt>
                <c:pt idx="55">
                  <c:v>1692.3076923076924</c:v>
                </c:pt>
                <c:pt idx="56">
                  <c:v>2729.2307692307695</c:v>
                </c:pt>
                <c:pt idx="57">
                  <c:v>3015.3846153846157</c:v>
                </c:pt>
                <c:pt idx="58">
                  <c:v>3907.6923076923072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2D-41BE-983F-006F2AE83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104752"/>
        <c:axId val="890101872"/>
      </c:scatterChart>
      <c:valAx>
        <c:axId val="890104752"/>
        <c:scaling>
          <c:orientation val="minMax"/>
          <c:max val="2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0101872"/>
        <c:crosses val="autoZero"/>
        <c:crossBetween val="midCat"/>
      </c:valAx>
      <c:valAx>
        <c:axId val="890101872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010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"sqrt(I_D) / Vgs"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Sheet2!$B$3:$B$64</c:f>
              <c:numCache>
                <c:formatCode>General</c:formatCode>
                <c:ptCount val="6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0.7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  <c:pt idx="7">
                  <c:v>1.1000000000000001</c:v>
                </c:pt>
                <c:pt idx="8">
                  <c:v>1.2</c:v>
                </c:pt>
                <c:pt idx="9">
                  <c:v>1.3</c:v>
                </c:pt>
                <c:pt idx="10">
                  <c:v>1.4</c:v>
                </c:pt>
                <c:pt idx="11">
                  <c:v>1.5</c:v>
                </c:pt>
                <c:pt idx="12">
                  <c:v>1.6</c:v>
                </c:pt>
                <c:pt idx="13">
                  <c:v>1.61</c:v>
                </c:pt>
                <c:pt idx="14">
                  <c:v>1.62</c:v>
                </c:pt>
                <c:pt idx="15">
                  <c:v>1.63</c:v>
                </c:pt>
                <c:pt idx="16">
                  <c:v>1.64</c:v>
                </c:pt>
                <c:pt idx="17">
                  <c:v>1.65</c:v>
                </c:pt>
                <c:pt idx="18">
                  <c:v>1.66</c:v>
                </c:pt>
                <c:pt idx="19">
                  <c:v>1.67</c:v>
                </c:pt>
                <c:pt idx="20">
                  <c:v>1.68</c:v>
                </c:pt>
                <c:pt idx="21">
                  <c:v>1.69</c:v>
                </c:pt>
                <c:pt idx="22">
                  <c:v>1.7</c:v>
                </c:pt>
                <c:pt idx="23">
                  <c:v>1.71</c:v>
                </c:pt>
                <c:pt idx="24">
                  <c:v>1.72</c:v>
                </c:pt>
                <c:pt idx="25">
                  <c:v>1.73</c:v>
                </c:pt>
                <c:pt idx="26">
                  <c:v>1.74</c:v>
                </c:pt>
                <c:pt idx="27">
                  <c:v>1.75</c:v>
                </c:pt>
                <c:pt idx="28">
                  <c:v>1.77</c:v>
                </c:pt>
                <c:pt idx="29">
                  <c:v>1.78</c:v>
                </c:pt>
                <c:pt idx="30">
                  <c:v>1.79</c:v>
                </c:pt>
                <c:pt idx="31">
                  <c:v>1.8</c:v>
                </c:pt>
                <c:pt idx="32">
                  <c:v>1.81</c:v>
                </c:pt>
                <c:pt idx="33">
                  <c:v>1.82</c:v>
                </c:pt>
                <c:pt idx="34">
                  <c:v>1.83</c:v>
                </c:pt>
                <c:pt idx="35">
                  <c:v>1.84</c:v>
                </c:pt>
                <c:pt idx="36">
                  <c:v>1.85</c:v>
                </c:pt>
                <c:pt idx="37">
                  <c:v>1.86</c:v>
                </c:pt>
                <c:pt idx="38">
                  <c:v>1.87</c:v>
                </c:pt>
                <c:pt idx="39">
                  <c:v>1.88</c:v>
                </c:pt>
                <c:pt idx="40">
                  <c:v>1.89</c:v>
                </c:pt>
                <c:pt idx="41">
                  <c:v>1.9</c:v>
                </c:pt>
                <c:pt idx="42">
                  <c:v>1.91</c:v>
                </c:pt>
                <c:pt idx="43">
                  <c:v>1.92</c:v>
                </c:pt>
                <c:pt idx="44">
                  <c:v>1.93</c:v>
                </c:pt>
                <c:pt idx="45">
                  <c:v>1.94</c:v>
                </c:pt>
                <c:pt idx="46">
                  <c:v>1.95</c:v>
                </c:pt>
                <c:pt idx="47">
                  <c:v>1.96</c:v>
                </c:pt>
                <c:pt idx="48">
                  <c:v>1.97</c:v>
                </c:pt>
                <c:pt idx="49">
                  <c:v>1.98</c:v>
                </c:pt>
                <c:pt idx="50">
                  <c:v>1.99</c:v>
                </c:pt>
                <c:pt idx="51">
                  <c:v>1.9950000000000001</c:v>
                </c:pt>
                <c:pt idx="52">
                  <c:v>2</c:v>
                </c:pt>
                <c:pt idx="53">
                  <c:v>2.0009999999999999</c:v>
                </c:pt>
                <c:pt idx="54">
                  <c:v>2.0019999999999998</c:v>
                </c:pt>
                <c:pt idx="55">
                  <c:v>2.0049999999999999</c:v>
                </c:pt>
                <c:pt idx="56">
                  <c:v>2.0099999999999998</c:v>
                </c:pt>
                <c:pt idx="57">
                  <c:v>2.02</c:v>
                </c:pt>
                <c:pt idx="58">
                  <c:v>2.1</c:v>
                </c:pt>
              </c:numCache>
            </c:numRef>
          </c:xVal>
          <c:yVal>
            <c:numRef>
              <c:f>Sheet2!$E$3:$E$64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0.78446454055273618</c:v>
                </c:pt>
                <c:pt idx="4">
                  <c:v>0.96076892283052273</c:v>
                </c:pt>
                <c:pt idx="5">
                  <c:v>1.2403473458920846</c:v>
                </c:pt>
                <c:pt idx="6">
                  <c:v>1.3587324409735149</c:v>
                </c:pt>
                <c:pt idx="7">
                  <c:v>1.4675987714106855</c:v>
                </c:pt>
                <c:pt idx="8">
                  <c:v>1.6641005886756874</c:v>
                </c:pt>
                <c:pt idx="9">
                  <c:v>1.7541160386140584</c:v>
                </c:pt>
                <c:pt idx="10">
                  <c:v>1.9215378456610455</c:v>
                </c:pt>
                <c:pt idx="11">
                  <c:v>2.2188007849009166</c:v>
                </c:pt>
                <c:pt idx="12">
                  <c:v>2.7174648819470297</c:v>
                </c:pt>
                <c:pt idx="13">
                  <c:v>2.7735009811261455</c:v>
                </c:pt>
                <c:pt idx="14">
                  <c:v>2.8284271247461903</c:v>
                </c:pt>
                <c:pt idx="15">
                  <c:v>2.935197542821371</c:v>
                </c:pt>
                <c:pt idx="16">
                  <c:v>3.0382181012509997</c:v>
                </c:pt>
                <c:pt idx="17">
                  <c:v>3.186510027262766</c:v>
                </c:pt>
                <c:pt idx="18">
                  <c:v>3.2816506165694679</c:v>
                </c:pt>
                <c:pt idx="19">
                  <c:v>3.4194016570604417</c:v>
                </c:pt>
                <c:pt idx="20">
                  <c:v>3.5948681370916682</c:v>
                </c:pt>
                <c:pt idx="21">
                  <c:v>3.7210420376762534</c:v>
                </c:pt>
                <c:pt idx="22">
                  <c:v>3.9223227027636804</c:v>
                </c:pt>
                <c:pt idx="23">
                  <c:v>4.0761973229205442</c:v>
                </c:pt>
                <c:pt idx="24">
                  <c:v>4.2607330535773009</c:v>
                </c:pt>
                <c:pt idx="25">
                  <c:v>4.5064056971928643</c:v>
                </c:pt>
                <c:pt idx="26">
                  <c:v>4.7067872433164171</c:v>
                </c:pt>
                <c:pt idx="27">
                  <c:v>4.9613893835683385</c:v>
                </c:pt>
                <c:pt idx="28">
                  <c:v>5.5191972660467989</c:v>
                </c:pt>
                <c:pt idx="29">
                  <c:v>5.8441292040684862</c:v>
                </c:pt>
                <c:pt idx="30">
                  <c:v>6.1519227763483704</c:v>
                </c:pt>
                <c:pt idx="31">
                  <c:v>6.5633012331389358</c:v>
                </c:pt>
                <c:pt idx="32">
                  <c:v>6.9059617499887507</c:v>
                </c:pt>
                <c:pt idx="33">
                  <c:v>7.3379938570534282</c:v>
                </c:pt>
                <c:pt idx="34">
                  <c:v>7.7658027471532076</c:v>
                </c:pt>
                <c:pt idx="35">
                  <c:v>8.2275335120744231</c:v>
                </c:pt>
                <c:pt idx="36">
                  <c:v>8.717797887081348</c:v>
                </c:pt>
                <c:pt idx="37">
                  <c:v>9.1986621100779988</c:v>
                </c:pt>
                <c:pt idx="38">
                  <c:v>9.7979589711327115</c:v>
                </c:pt>
                <c:pt idx="39">
                  <c:v>10.377490433255417</c:v>
                </c:pt>
                <c:pt idx="40">
                  <c:v>10.996502940620573</c:v>
                </c:pt>
                <c:pt idx="41">
                  <c:v>11.675088535325644</c:v>
                </c:pt>
                <c:pt idx="42">
                  <c:v>12.291335284537766</c:v>
                </c:pt>
                <c:pt idx="43">
                  <c:v>13.091394707387574</c:v>
                </c:pt>
                <c:pt idx="44">
                  <c:v>13.867504905630728</c:v>
                </c:pt>
                <c:pt idx="45">
                  <c:v>14.686466821271468</c:v>
                </c:pt>
                <c:pt idx="46">
                  <c:v>15.689290811054722</c:v>
                </c:pt>
                <c:pt idx="47">
                  <c:v>16.594716490034273</c:v>
                </c:pt>
                <c:pt idx="48">
                  <c:v>17.576207694581811</c:v>
                </c:pt>
                <c:pt idx="49">
                  <c:v>18.630000619348436</c:v>
                </c:pt>
                <c:pt idx="50">
                  <c:v>19.767883821219478</c:v>
                </c:pt>
                <c:pt idx="51">
                  <c:v>20.343209035109329</c:v>
                </c:pt>
                <c:pt idx="52">
                  <c:v>23.533936216582084</c:v>
                </c:pt>
                <c:pt idx="53">
                  <c:v>29.351975428213713</c:v>
                </c:pt>
                <c:pt idx="54">
                  <c:v>31.865100272627661</c:v>
                </c:pt>
                <c:pt idx="55">
                  <c:v>41.137667560372115</c:v>
                </c:pt>
                <c:pt idx="56">
                  <c:v>52.242040247589578</c:v>
                </c:pt>
                <c:pt idx="57">
                  <c:v>54.912517838691535</c:v>
                </c:pt>
                <c:pt idx="58">
                  <c:v>62.51153739664629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A3-4FE3-B788-4519BD7E0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104752"/>
        <c:axId val="890101872"/>
      </c:scatterChart>
      <c:valAx>
        <c:axId val="890104752"/>
        <c:scaling>
          <c:orientation val="minMax"/>
          <c:max val="2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0101872"/>
        <c:crosses val="autoZero"/>
        <c:crossBetween val="midCat"/>
      </c:valAx>
      <c:valAx>
        <c:axId val="8901018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010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Id [uA]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Sheet3!$A$2:$A$49</c:f>
              <c:numCache>
                <c:formatCode>General</c:formatCode>
                <c:ptCount val="48"/>
                <c:pt idx="0">
                  <c:v>1.3</c:v>
                </c:pt>
                <c:pt idx="1">
                  <c:v>1.4</c:v>
                </c:pt>
                <c:pt idx="2">
                  <c:v>1.5</c:v>
                </c:pt>
                <c:pt idx="3">
                  <c:v>1.6</c:v>
                </c:pt>
                <c:pt idx="4">
                  <c:v>1.7</c:v>
                </c:pt>
                <c:pt idx="5">
                  <c:v>1.8</c:v>
                </c:pt>
                <c:pt idx="6">
                  <c:v>1.83</c:v>
                </c:pt>
                <c:pt idx="7">
                  <c:v>1.85</c:v>
                </c:pt>
                <c:pt idx="8">
                  <c:v>1.9</c:v>
                </c:pt>
                <c:pt idx="9">
                  <c:v>1.95</c:v>
                </c:pt>
                <c:pt idx="10">
                  <c:v>1.96</c:v>
                </c:pt>
                <c:pt idx="11">
                  <c:v>1.97</c:v>
                </c:pt>
                <c:pt idx="12">
                  <c:v>1.98</c:v>
                </c:pt>
                <c:pt idx="13">
                  <c:v>1.99</c:v>
                </c:pt>
                <c:pt idx="14">
                  <c:v>2</c:v>
                </c:pt>
                <c:pt idx="15">
                  <c:v>2.0499999999999998</c:v>
                </c:pt>
                <c:pt idx="16">
                  <c:v>2.1</c:v>
                </c:pt>
                <c:pt idx="17">
                  <c:v>2.15</c:v>
                </c:pt>
                <c:pt idx="18">
                  <c:v>2.17</c:v>
                </c:pt>
                <c:pt idx="19">
                  <c:v>2.2000000000000002</c:v>
                </c:pt>
                <c:pt idx="20">
                  <c:v>2.23</c:v>
                </c:pt>
                <c:pt idx="21">
                  <c:v>2.25</c:v>
                </c:pt>
                <c:pt idx="22">
                  <c:v>2.27</c:v>
                </c:pt>
                <c:pt idx="23">
                  <c:v>2.2999999999999998</c:v>
                </c:pt>
                <c:pt idx="24">
                  <c:v>2.33</c:v>
                </c:pt>
                <c:pt idx="25">
                  <c:v>2.35</c:v>
                </c:pt>
                <c:pt idx="26">
                  <c:v>2.37</c:v>
                </c:pt>
                <c:pt idx="27">
                  <c:v>2.4</c:v>
                </c:pt>
                <c:pt idx="28">
                  <c:v>2.4300000000000002</c:v>
                </c:pt>
                <c:pt idx="29">
                  <c:v>2.4500000000000002</c:v>
                </c:pt>
                <c:pt idx="30">
                  <c:v>2.4700000000000002</c:v>
                </c:pt>
                <c:pt idx="31">
                  <c:v>2.5</c:v>
                </c:pt>
                <c:pt idx="32">
                  <c:v>2.5299999999999998</c:v>
                </c:pt>
                <c:pt idx="33">
                  <c:v>2.5499999999999998</c:v>
                </c:pt>
                <c:pt idx="34">
                  <c:v>2.57</c:v>
                </c:pt>
                <c:pt idx="35">
                  <c:v>2.6</c:v>
                </c:pt>
                <c:pt idx="36">
                  <c:v>2.63</c:v>
                </c:pt>
                <c:pt idx="37">
                  <c:v>2.65</c:v>
                </c:pt>
                <c:pt idx="38">
                  <c:v>2.67</c:v>
                </c:pt>
                <c:pt idx="39">
                  <c:v>2.7</c:v>
                </c:pt>
                <c:pt idx="40">
                  <c:v>2.73</c:v>
                </c:pt>
                <c:pt idx="41">
                  <c:v>2.75</c:v>
                </c:pt>
                <c:pt idx="42">
                  <c:v>2.8</c:v>
                </c:pt>
                <c:pt idx="43">
                  <c:v>2.9</c:v>
                </c:pt>
                <c:pt idx="44">
                  <c:v>3</c:v>
                </c:pt>
                <c:pt idx="45">
                  <c:v>3.1</c:v>
                </c:pt>
                <c:pt idx="46">
                  <c:v>3.2</c:v>
                </c:pt>
                <c:pt idx="47">
                  <c:v>3.3</c:v>
                </c:pt>
              </c:numCache>
            </c:numRef>
          </c:xVal>
          <c:yVal>
            <c:numRef>
              <c:f>Sheet3!$B$2:$B$49</c:f>
              <c:numCache>
                <c:formatCode>General</c:formatCode>
                <c:ptCount val="48"/>
                <c:pt idx="0">
                  <c:v>0</c:v>
                </c:pt>
                <c:pt idx="1">
                  <c:v>0.1</c:v>
                </c:pt>
                <c:pt idx="2">
                  <c:v>0.54</c:v>
                </c:pt>
                <c:pt idx="3">
                  <c:v>2.4900000000000002</c:v>
                </c:pt>
                <c:pt idx="4">
                  <c:v>7.94</c:v>
                </c:pt>
                <c:pt idx="5">
                  <c:v>29.75</c:v>
                </c:pt>
                <c:pt idx="6">
                  <c:v>52.2</c:v>
                </c:pt>
                <c:pt idx="7">
                  <c:v>64.2</c:v>
                </c:pt>
                <c:pt idx="8">
                  <c:v>107.8</c:v>
                </c:pt>
                <c:pt idx="9">
                  <c:v>219</c:v>
                </c:pt>
                <c:pt idx="10">
                  <c:v>248</c:v>
                </c:pt>
                <c:pt idx="11">
                  <c:v>278</c:v>
                </c:pt>
                <c:pt idx="12">
                  <c:v>311</c:v>
                </c:pt>
                <c:pt idx="13">
                  <c:v>349</c:v>
                </c:pt>
                <c:pt idx="14">
                  <c:v>363</c:v>
                </c:pt>
                <c:pt idx="15">
                  <c:v>683</c:v>
                </c:pt>
                <c:pt idx="16">
                  <c:v>1112</c:v>
                </c:pt>
                <c:pt idx="17">
                  <c:v>1930</c:v>
                </c:pt>
                <c:pt idx="18">
                  <c:v>2380</c:v>
                </c:pt>
                <c:pt idx="19">
                  <c:v>2970</c:v>
                </c:pt>
                <c:pt idx="20">
                  <c:v>3950</c:v>
                </c:pt>
                <c:pt idx="21">
                  <c:v>4540</c:v>
                </c:pt>
                <c:pt idx="22">
                  <c:v>5360</c:v>
                </c:pt>
                <c:pt idx="23">
                  <c:v>6630</c:v>
                </c:pt>
                <c:pt idx="24">
                  <c:v>8100</c:v>
                </c:pt>
                <c:pt idx="25">
                  <c:v>9100</c:v>
                </c:pt>
                <c:pt idx="26">
                  <c:v>10300</c:v>
                </c:pt>
                <c:pt idx="27">
                  <c:v>12700</c:v>
                </c:pt>
                <c:pt idx="28">
                  <c:v>14300</c:v>
                </c:pt>
                <c:pt idx="29">
                  <c:v>15750</c:v>
                </c:pt>
                <c:pt idx="30">
                  <c:v>17600</c:v>
                </c:pt>
                <c:pt idx="31">
                  <c:v>20100</c:v>
                </c:pt>
                <c:pt idx="32">
                  <c:v>22700</c:v>
                </c:pt>
                <c:pt idx="33">
                  <c:v>24500</c:v>
                </c:pt>
                <c:pt idx="34">
                  <c:v>26400</c:v>
                </c:pt>
                <c:pt idx="35">
                  <c:v>29300</c:v>
                </c:pt>
                <c:pt idx="36">
                  <c:v>32300</c:v>
                </c:pt>
                <c:pt idx="37">
                  <c:v>34350</c:v>
                </c:pt>
                <c:pt idx="38">
                  <c:v>36500</c:v>
                </c:pt>
                <c:pt idx="39">
                  <c:v>39600</c:v>
                </c:pt>
                <c:pt idx="40">
                  <c:v>42800</c:v>
                </c:pt>
                <c:pt idx="41">
                  <c:v>45000</c:v>
                </c:pt>
                <c:pt idx="42">
                  <c:v>56600</c:v>
                </c:pt>
                <c:pt idx="43">
                  <c:v>70400</c:v>
                </c:pt>
                <c:pt idx="44">
                  <c:v>84200</c:v>
                </c:pt>
                <c:pt idx="45">
                  <c:v>96000</c:v>
                </c:pt>
                <c:pt idx="46">
                  <c:v>105000</c:v>
                </c:pt>
                <c:pt idx="47">
                  <c:v>115000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78-4F57-B120-E233B6B17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355456"/>
        <c:axId val="1005355936"/>
      </c:scatterChart>
      <c:valAx>
        <c:axId val="100535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5355936"/>
        <c:crosses val="autoZero"/>
        <c:crossBetween val="midCat"/>
      </c:valAx>
      <c:valAx>
        <c:axId val="100535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535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Sheet3!$C$1</c:f>
              <c:strCache>
                <c:ptCount val="1"/>
                <c:pt idx="0">
                  <c:v>sqrt(Id)</c:v>
                </c:pt>
              </c:strCache>
            </c:strRef>
          </c:tx>
          <c:marker>
            <c:symbol val="square"/>
            <c:size val="4"/>
          </c:marker>
          <c:xVal>
            <c:numRef>
              <c:f>Sheet3!$A$2:$A$49</c:f>
              <c:numCache>
                <c:formatCode>General</c:formatCode>
                <c:ptCount val="48"/>
                <c:pt idx="0">
                  <c:v>1.3</c:v>
                </c:pt>
                <c:pt idx="1">
                  <c:v>1.4</c:v>
                </c:pt>
                <c:pt idx="2">
                  <c:v>1.5</c:v>
                </c:pt>
                <c:pt idx="3">
                  <c:v>1.6</c:v>
                </c:pt>
                <c:pt idx="4">
                  <c:v>1.7</c:v>
                </c:pt>
                <c:pt idx="5">
                  <c:v>1.8</c:v>
                </c:pt>
                <c:pt idx="6">
                  <c:v>1.83</c:v>
                </c:pt>
                <c:pt idx="7">
                  <c:v>1.85</c:v>
                </c:pt>
                <c:pt idx="8">
                  <c:v>1.9</c:v>
                </c:pt>
                <c:pt idx="9">
                  <c:v>1.95</c:v>
                </c:pt>
                <c:pt idx="10">
                  <c:v>1.96</c:v>
                </c:pt>
                <c:pt idx="11">
                  <c:v>1.97</c:v>
                </c:pt>
                <c:pt idx="12">
                  <c:v>1.98</c:v>
                </c:pt>
                <c:pt idx="13">
                  <c:v>1.99</c:v>
                </c:pt>
                <c:pt idx="14">
                  <c:v>2</c:v>
                </c:pt>
                <c:pt idx="15">
                  <c:v>2.0499999999999998</c:v>
                </c:pt>
                <c:pt idx="16">
                  <c:v>2.1</c:v>
                </c:pt>
                <c:pt idx="17">
                  <c:v>2.15</c:v>
                </c:pt>
                <c:pt idx="18">
                  <c:v>2.17</c:v>
                </c:pt>
                <c:pt idx="19">
                  <c:v>2.2000000000000002</c:v>
                </c:pt>
                <c:pt idx="20">
                  <c:v>2.23</c:v>
                </c:pt>
                <c:pt idx="21">
                  <c:v>2.25</c:v>
                </c:pt>
                <c:pt idx="22">
                  <c:v>2.27</c:v>
                </c:pt>
                <c:pt idx="23">
                  <c:v>2.2999999999999998</c:v>
                </c:pt>
                <c:pt idx="24">
                  <c:v>2.33</c:v>
                </c:pt>
                <c:pt idx="25">
                  <c:v>2.35</c:v>
                </c:pt>
                <c:pt idx="26">
                  <c:v>2.37</c:v>
                </c:pt>
                <c:pt idx="27">
                  <c:v>2.4</c:v>
                </c:pt>
                <c:pt idx="28">
                  <c:v>2.4300000000000002</c:v>
                </c:pt>
                <c:pt idx="29">
                  <c:v>2.4500000000000002</c:v>
                </c:pt>
                <c:pt idx="30">
                  <c:v>2.4700000000000002</c:v>
                </c:pt>
                <c:pt idx="31">
                  <c:v>2.5</c:v>
                </c:pt>
                <c:pt idx="32">
                  <c:v>2.5299999999999998</c:v>
                </c:pt>
                <c:pt idx="33">
                  <c:v>2.5499999999999998</c:v>
                </c:pt>
                <c:pt idx="34">
                  <c:v>2.57</c:v>
                </c:pt>
                <c:pt idx="35">
                  <c:v>2.6</c:v>
                </c:pt>
                <c:pt idx="36">
                  <c:v>2.63</c:v>
                </c:pt>
                <c:pt idx="37">
                  <c:v>2.65</c:v>
                </c:pt>
                <c:pt idx="38">
                  <c:v>2.67</c:v>
                </c:pt>
                <c:pt idx="39">
                  <c:v>2.7</c:v>
                </c:pt>
                <c:pt idx="40">
                  <c:v>2.73</c:v>
                </c:pt>
                <c:pt idx="41">
                  <c:v>2.75</c:v>
                </c:pt>
                <c:pt idx="42">
                  <c:v>2.8</c:v>
                </c:pt>
                <c:pt idx="43">
                  <c:v>2.9</c:v>
                </c:pt>
                <c:pt idx="44">
                  <c:v>3</c:v>
                </c:pt>
                <c:pt idx="45">
                  <c:v>3.1</c:v>
                </c:pt>
                <c:pt idx="46">
                  <c:v>3.2</c:v>
                </c:pt>
                <c:pt idx="47">
                  <c:v>3.3</c:v>
                </c:pt>
              </c:numCache>
            </c:numRef>
          </c:xVal>
          <c:yVal>
            <c:numRef>
              <c:f>Sheet3!$C$2:$C$49</c:f>
              <c:numCache>
                <c:formatCode>General</c:formatCode>
                <c:ptCount val="48"/>
                <c:pt idx="0">
                  <c:v>0</c:v>
                </c:pt>
                <c:pt idx="1">
                  <c:v>0.31622776601683794</c:v>
                </c:pt>
                <c:pt idx="2">
                  <c:v>0.73484692283495345</c:v>
                </c:pt>
                <c:pt idx="3">
                  <c:v>1.57797338380595</c:v>
                </c:pt>
                <c:pt idx="4">
                  <c:v>2.8178005607210741</c:v>
                </c:pt>
                <c:pt idx="5">
                  <c:v>5.4543560573178569</c:v>
                </c:pt>
                <c:pt idx="6">
                  <c:v>7.2249567472753773</c:v>
                </c:pt>
                <c:pt idx="7">
                  <c:v>8.0124902496040527</c:v>
                </c:pt>
                <c:pt idx="8">
                  <c:v>10.382677881933928</c:v>
                </c:pt>
                <c:pt idx="9">
                  <c:v>14.798648586948742</c:v>
                </c:pt>
                <c:pt idx="10">
                  <c:v>15.748015748023622</c:v>
                </c:pt>
                <c:pt idx="11">
                  <c:v>16.673332000533065</c:v>
                </c:pt>
                <c:pt idx="12">
                  <c:v>17.635192088548397</c:v>
                </c:pt>
                <c:pt idx="13">
                  <c:v>18.681541692269406</c:v>
                </c:pt>
                <c:pt idx="14">
                  <c:v>19.05255888325765</c:v>
                </c:pt>
                <c:pt idx="15">
                  <c:v>26.134268690743959</c:v>
                </c:pt>
                <c:pt idx="16">
                  <c:v>33.346664001066131</c:v>
                </c:pt>
                <c:pt idx="17">
                  <c:v>43.931765272977593</c:v>
                </c:pt>
                <c:pt idx="18">
                  <c:v>48.785243670601872</c:v>
                </c:pt>
                <c:pt idx="19">
                  <c:v>54.497706373754852</c:v>
                </c:pt>
                <c:pt idx="20">
                  <c:v>62.849025449882674</c:v>
                </c:pt>
                <c:pt idx="21">
                  <c:v>67.379522111692069</c:v>
                </c:pt>
                <c:pt idx="22">
                  <c:v>73.212020870892502</c:v>
                </c:pt>
                <c:pt idx="23">
                  <c:v>81.424811943289129</c:v>
                </c:pt>
                <c:pt idx="24">
                  <c:v>90</c:v>
                </c:pt>
                <c:pt idx="25">
                  <c:v>95.393920141694565</c:v>
                </c:pt>
                <c:pt idx="26">
                  <c:v>101.48891565092219</c:v>
                </c:pt>
                <c:pt idx="27">
                  <c:v>112.69427669584645</c:v>
                </c:pt>
                <c:pt idx="28">
                  <c:v>119.58260743101398</c:v>
                </c:pt>
                <c:pt idx="29">
                  <c:v>125.49900398011133</c:v>
                </c:pt>
                <c:pt idx="30">
                  <c:v>132.66499161421601</c:v>
                </c:pt>
                <c:pt idx="31">
                  <c:v>141.77446878757826</c:v>
                </c:pt>
                <c:pt idx="32">
                  <c:v>150.66519173319364</c:v>
                </c:pt>
                <c:pt idx="33">
                  <c:v>156.52475842498527</c:v>
                </c:pt>
                <c:pt idx="34">
                  <c:v>162.48076809271922</c:v>
                </c:pt>
                <c:pt idx="35">
                  <c:v>171.17242768623689</c:v>
                </c:pt>
                <c:pt idx="36">
                  <c:v>179.72200755611428</c:v>
                </c:pt>
                <c:pt idx="37">
                  <c:v>185.3375299285064</c:v>
                </c:pt>
                <c:pt idx="38">
                  <c:v>191.04973174542801</c:v>
                </c:pt>
                <c:pt idx="39">
                  <c:v>198.997487421324</c:v>
                </c:pt>
                <c:pt idx="40">
                  <c:v>206.881608655772</c:v>
                </c:pt>
                <c:pt idx="41">
                  <c:v>212.13203435596427</c:v>
                </c:pt>
                <c:pt idx="42">
                  <c:v>237.90754506740637</c:v>
                </c:pt>
                <c:pt idx="43">
                  <c:v>265.32998322843201</c:v>
                </c:pt>
                <c:pt idx="44">
                  <c:v>290.17236257093816</c:v>
                </c:pt>
                <c:pt idx="45">
                  <c:v>309.83866769659335</c:v>
                </c:pt>
                <c:pt idx="46">
                  <c:v>324.03703492039301</c:v>
                </c:pt>
                <c:pt idx="47">
                  <c:v>339.11649915626339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232-4B1F-B275-C05AA4E8E874}"/>
            </c:ext>
          </c:extLst>
        </c:ser>
        <c:ser>
          <c:idx val="0"/>
          <c:order val="1"/>
          <c:tx>
            <c:strRef>
              <c:f>Sheet3!$C$1</c:f>
              <c:strCache>
                <c:ptCount val="1"/>
                <c:pt idx="0">
                  <c:v>sqrt(Id)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forward val="0.4"/>
            <c:backward val="0.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Sheet3!$A$19:$A$43</c:f>
              <c:numCache>
                <c:formatCode>General</c:formatCode>
                <c:ptCount val="25"/>
                <c:pt idx="0">
                  <c:v>2.15</c:v>
                </c:pt>
                <c:pt idx="1">
                  <c:v>2.17</c:v>
                </c:pt>
                <c:pt idx="2">
                  <c:v>2.2000000000000002</c:v>
                </c:pt>
                <c:pt idx="3">
                  <c:v>2.23</c:v>
                </c:pt>
                <c:pt idx="4">
                  <c:v>2.25</c:v>
                </c:pt>
                <c:pt idx="5">
                  <c:v>2.27</c:v>
                </c:pt>
                <c:pt idx="6">
                  <c:v>2.2999999999999998</c:v>
                </c:pt>
                <c:pt idx="7">
                  <c:v>2.33</c:v>
                </c:pt>
                <c:pt idx="8">
                  <c:v>2.35</c:v>
                </c:pt>
                <c:pt idx="9">
                  <c:v>2.37</c:v>
                </c:pt>
                <c:pt idx="10">
                  <c:v>2.4</c:v>
                </c:pt>
                <c:pt idx="11">
                  <c:v>2.4300000000000002</c:v>
                </c:pt>
                <c:pt idx="12">
                  <c:v>2.4500000000000002</c:v>
                </c:pt>
                <c:pt idx="13">
                  <c:v>2.4700000000000002</c:v>
                </c:pt>
                <c:pt idx="14">
                  <c:v>2.5</c:v>
                </c:pt>
                <c:pt idx="15">
                  <c:v>2.5299999999999998</c:v>
                </c:pt>
                <c:pt idx="16">
                  <c:v>2.5499999999999998</c:v>
                </c:pt>
                <c:pt idx="17">
                  <c:v>2.57</c:v>
                </c:pt>
                <c:pt idx="18">
                  <c:v>2.6</c:v>
                </c:pt>
                <c:pt idx="19">
                  <c:v>2.63</c:v>
                </c:pt>
                <c:pt idx="20">
                  <c:v>2.65</c:v>
                </c:pt>
                <c:pt idx="21">
                  <c:v>2.67</c:v>
                </c:pt>
                <c:pt idx="22">
                  <c:v>2.7</c:v>
                </c:pt>
                <c:pt idx="23">
                  <c:v>2.73</c:v>
                </c:pt>
                <c:pt idx="24">
                  <c:v>2.75</c:v>
                </c:pt>
              </c:numCache>
            </c:numRef>
          </c:xVal>
          <c:yVal>
            <c:numRef>
              <c:f>Sheet3!$C$19:$C$43</c:f>
              <c:numCache>
                <c:formatCode>General</c:formatCode>
                <c:ptCount val="25"/>
                <c:pt idx="0">
                  <c:v>43.931765272977593</c:v>
                </c:pt>
                <c:pt idx="1">
                  <c:v>48.785243670601872</c:v>
                </c:pt>
                <c:pt idx="2">
                  <c:v>54.497706373754852</c:v>
                </c:pt>
                <c:pt idx="3">
                  <c:v>62.849025449882674</c:v>
                </c:pt>
                <c:pt idx="4">
                  <c:v>67.379522111692069</c:v>
                </c:pt>
                <c:pt idx="5">
                  <c:v>73.212020870892502</c:v>
                </c:pt>
                <c:pt idx="6">
                  <c:v>81.424811943289129</c:v>
                </c:pt>
                <c:pt idx="7">
                  <c:v>90</c:v>
                </c:pt>
                <c:pt idx="8">
                  <c:v>95.393920141694565</c:v>
                </c:pt>
                <c:pt idx="9">
                  <c:v>101.48891565092219</c:v>
                </c:pt>
                <c:pt idx="10">
                  <c:v>112.69427669584645</c:v>
                </c:pt>
                <c:pt idx="11">
                  <c:v>119.58260743101398</c:v>
                </c:pt>
                <c:pt idx="12">
                  <c:v>125.49900398011133</c:v>
                </c:pt>
                <c:pt idx="13">
                  <c:v>132.66499161421601</c:v>
                </c:pt>
                <c:pt idx="14">
                  <c:v>141.77446878757826</c:v>
                </c:pt>
                <c:pt idx="15">
                  <c:v>150.66519173319364</c:v>
                </c:pt>
                <c:pt idx="16">
                  <c:v>156.52475842498527</c:v>
                </c:pt>
                <c:pt idx="17">
                  <c:v>162.48076809271922</c:v>
                </c:pt>
                <c:pt idx="18">
                  <c:v>171.17242768623689</c:v>
                </c:pt>
                <c:pt idx="19">
                  <c:v>179.72200755611428</c:v>
                </c:pt>
                <c:pt idx="20">
                  <c:v>185.3375299285064</c:v>
                </c:pt>
                <c:pt idx="21">
                  <c:v>191.04973174542801</c:v>
                </c:pt>
                <c:pt idx="22">
                  <c:v>198.997487421324</c:v>
                </c:pt>
                <c:pt idx="23">
                  <c:v>206.881608655772</c:v>
                </c:pt>
                <c:pt idx="24">
                  <c:v>212.13203435596427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32-4B1F-B275-C05AA4E8E874}"/>
            </c:ext>
          </c:extLst>
        </c:ser>
        <c:ser>
          <c:idx val="2"/>
          <c:order val="2"/>
          <c:marker>
            <c:symbol val="triangle"/>
            <c:size val="2"/>
          </c:marker>
          <c:xVal>
            <c:numRef>
              <c:f>Sheet3!$A$2:$A$100</c:f>
              <c:numCache>
                <c:formatCode>General</c:formatCode>
                <c:ptCount val="99"/>
                <c:pt idx="0">
                  <c:v>1.3</c:v>
                </c:pt>
                <c:pt idx="1">
                  <c:v>1.4</c:v>
                </c:pt>
                <c:pt idx="2">
                  <c:v>1.5</c:v>
                </c:pt>
                <c:pt idx="3">
                  <c:v>1.6</c:v>
                </c:pt>
                <c:pt idx="4">
                  <c:v>1.7</c:v>
                </c:pt>
                <c:pt idx="5">
                  <c:v>1.8</c:v>
                </c:pt>
                <c:pt idx="6">
                  <c:v>1.83</c:v>
                </c:pt>
                <c:pt idx="7">
                  <c:v>1.85</c:v>
                </c:pt>
                <c:pt idx="8">
                  <c:v>1.9</c:v>
                </c:pt>
                <c:pt idx="9">
                  <c:v>1.95</c:v>
                </c:pt>
                <c:pt idx="10">
                  <c:v>1.96</c:v>
                </c:pt>
                <c:pt idx="11">
                  <c:v>1.97</c:v>
                </c:pt>
                <c:pt idx="12">
                  <c:v>1.98</c:v>
                </c:pt>
                <c:pt idx="13">
                  <c:v>1.99</c:v>
                </c:pt>
                <c:pt idx="14">
                  <c:v>2</c:v>
                </c:pt>
                <c:pt idx="15">
                  <c:v>2.0499999999999998</c:v>
                </c:pt>
                <c:pt idx="16">
                  <c:v>2.1</c:v>
                </c:pt>
                <c:pt idx="17">
                  <c:v>2.15</c:v>
                </c:pt>
                <c:pt idx="18">
                  <c:v>2.17</c:v>
                </c:pt>
                <c:pt idx="19">
                  <c:v>2.2000000000000002</c:v>
                </c:pt>
                <c:pt idx="20">
                  <c:v>2.23</c:v>
                </c:pt>
                <c:pt idx="21">
                  <c:v>2.25</c:v>
                </c:pt>
                <c:pt idx="22">
                  <c:v>2.27</c:v>
                </c:pt>
                <c:pt idx="23">
                  <c:v>2.2999999999999998</c:v>
                </c:pt>
                <c:pt idx="24">
                  <c:v>2.33</c:v>
                </c:pt>
                <c:pt idx="25">
                  <c:v>2.35</c:v>
                </c:pt>
                <c:pt idx="26">
                  <c:v>2.37</c:v>
                </c:pt>
                <c:pt idx="27">
                  <c:v>2.4</c:v>
                </c:pt>
                <c:pt idx="28">
                  <c:v>2.4300000000000002</c:v>
                </c:pt>
                <c:pt idx="29">
                  <c:v>2.4500000000000002</c:v>
                </c:pt>
                <c:pt idx="30">
                  <c:v>2.4700000000000002</c:v>
                </c:pt>
                <c:pt idx="31">
                  <c:v>2.5</c:v>
                </c:pt>
                <c:pt idx="32">
                  <c:v>2.5299999999999998</c:v>
                </c:pt>
                <c:pt idx="33">
                  <c:v>2.5499999999999998</c:v>
                </c:pt>
                <c:pt idx="34">
                  <c:v>2.57</c:v>
                </c:pt>
                <c:pt idx="35">
                  <c:v>2.6</c:v>
                </c:pt>
                <c:pt idx="36">
                  <c:v>2.63</c:v>
                </c:pt>
                <c:pt idx="37">
                  <c:v>2.65</c:v>
                </c:pt>
                <c:pt idx="38">
                  <c:v>2.67</c:v>
                </c:pt>
                <c:pt idx="39">
                  <c:v>2.7</c:v>
                </c:pt>
                <c:pt idx="40">
                  <c:v>2.73</c:v>
                </c:pt>
                <c:pt idx="41">
                  <c:v>2.75</c:v>
                </c:pt>
                <c:pt idx="42">
                  <c:v>2.8</c:v>
                </c:pt>
                <c:pt idx="43">
                  <c:v>2.9</c:v>
                </c:pt>
                <c:pt idx="44">
                  <c:v>3</c:v>
                </c:pt>
                <c:pt idx="45">
                  <c:v>3.1</c:v>
                </c:pt>
                <c:pt idx="46">
                  <c:v>3.2</c:v>
                </c:pt>
                <c:pt idx="47">
                  <c:v>3.3</c:v>
                </c:pt>
              </c:numCache>
            </c:numRef>
          </c:xVal>
          <c:yVal>
            <c:numRef>
              <c:f>Sheet3!$F$2:$F$100</c:f>
              <c:numCache>
                <c:formatCode>General</c:formatCode>
                <c:ptCount val="99"/>
                <c:pt idx="15">
                  <c:v>11</c:v>
                </c:pt>
                <c:pt idx="16">
                  <c:v>25.416530054277668</c:v>
                </c:pt>
                <c:pt idx="17">
                  <c:v>39.874804074753769</c:v>
                </c:pt>
                <c:pt idx="18">
                  <c:v>45.650848842053307</c:v>
                </c:pt>
                <c:pt idx="19">
                  <c:v>54.323107422164284</c:v>
                </c:pt>
                <c:pt idx="20">
                  <c:v>62.992062992094489</c:v>
                </c:pt>
                <c:pt idx="21">
                  <c:v>68.767724987816777</c:v>
                </c:pt>
                <c:pt idx="22">
                  <c:v>74.55199527846321</c:v>
                </c:pt>
                <c:pt idx="23">
                  <c:v>83.222593086252729</c:v>
                </c:pt>
                <c:pt idx="24">
                  <c:v>91.891240061281138</c:v>
                </c:pt>
                <c:pt idx="25">
                  <c:v>97.66780431646859</c:v>
                </c:pt>
                <c:pt idx="26">
                  <c:v>103.45047124107265</c:v>
                </c:pt>
                <c:pt idx="27">
                  <c:v>112.1160113453917</c:v>
                </c:pt>
                <c:pt idx="28">
                  <c:v>120.78493283518438</c:v>
                </c:pt>
                <c:pt idx="29">
                  <c:v>126.56618821786489</c:v>
                </c:pt>
                <c:pt idx="30">
                  <c:v>132.34424808052671</c:v>
                </c:pt>
                <c:pt idx="31">
                  <c:v>141.01418368376991</c:v>
                </c:pt>
                <c:pt idx="32">
                  <c:v>149.68299836654796</c:v>
                </c:pt>
                <c:pt idx="33">
                  <c:v>155.46382215808282</c:v>
                </c:pt>
                <c:pt idx="34">
                  <c:v>161.24515496597098</c:v>
                </c:pt>
                <c:pt idx="35">
                  <c:v>169.91174179555691</c:v>
                </c:pt>
                <c:pt idx="36">
                  <c:v>178.58051405458548</c:v>
                </c:pt>
                <c:pt idx="37">
                  <c:v>184.35834670553976</c:v>
                </c:pt>
                <c:pt idx="38">
                  <c:v>190.1367928624021</c:v>
                </c:pt>
                <c:pt idx="39">
                  <c:v>198.80643852752857</c:v>
                </c:pt>
                <c:pt idx="40">
                  <c:v>207.4752997346913</c:v>
                </c:pt>
                <c:pt idx="41">
                  <c:v>213.25571504651404</c:v>
                </c:pt>
                <c:pt idx="42">
                  <c:v>227.7037549097511</c:v>
                </c:pt>
                <c:pt idx="47">
                  <c:v>372.18543765171682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232-4B1F-B275-C05AA4E8E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355456"/>
        <c:axId val="1005355936"/>
      </c:scatterChart>
      <c:valAx>
        <c:axId val="100535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5355936"/>
        <c:crosses val="autoZero"/>
        <c:crossBetween val="midCat"/>
      </c:valAx>
      <c:valAx>
        <c:axId val="100535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535545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40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E93E4-E385-1E94-E436-681C3EF6D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41</xdr:row>
      <xdr:rowOff>45720</xdr:rowOff>
    </xdr:from>
    <xdr:to>
      <xdr:col>18</xdr:col>
      <xdr:colOff>99060</xdr:colOff>
      <xdr:row>62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0447E9-A06D-422C-AD32-034A11C81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308409</xdr:colOff>
      <xdr:row>16</xdr:row>
      <xdr:rowOff>165434</xdr:rowOff>
    </xdr:from>
    <xdr:to>
      <xdr:col>16</xdr:col>
      <xdr:colOff>3609</xdr:colOff>
      <xdr:row>51</xdr:row>
      <xdr:rowOff>165434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43484C-4570-682D-0311-437436001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510540</xdr:colOff>
      <xdr:row>1</xdr:row>
      <xdr:rowOff>106680</xdr:rowOff>
    </xdr:from>
    <xdr:to>
      <xdr:col>17</xdr:col>
      <xdr:colOff>594360</xdr:colOff>
      <xdr:row>20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B27D4D-5538-48BE-B124-B7531EC4D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409B-31D9-4B5A-B2DC-E679939BD56D}">
  <dimension ref="A1:S16"/>
  <sheetViews>
    <sheetView workbookViewId="0">
      <selection activeCell="I8" sqref="I8"/>
    </sheetView>
  </sheetViews>
  <sheetFormatPr defaultRowHeight="14.4" x14ac:dyDescent="0.3"/>
  <cols>
    <col min="1" max="1" width="11.88671875" customWidth="1"/>
    <col min="2" max="2" width="10" bestFit="1" customWidth="1"/>
    <col min="3" max="3" width="10" customWidth="1"/>
    <col min="4" max="4" width="12" bestFit="1" customWidth="1"/>
    <col min="9" max="9" width="14.88671875" bestFit="1" customWidth="1"/>
    <col min="10" max="10" width="14.21875" bestFit="1" customWidth="1"/>
    <col min="14" max="15" width="11.33203125" bestFit="1" customWidth="1"/>
    <col min="16" max="16" width="11.33203125" customWidth="1"/>
    <col min="17" max="17" width="13.33203125" bestFit="1" customWidth="1"/>
    <col min="18" max="18" width="12.88671875" bestFit="1" customWidth="1"/>
    <col min="19" max="19" width="11.88671875" bestFit="1" customWidth="1"/>
  </cols>
  <sheetData>
    <row r="1" spans="1:19" x14ac:dyDescent="0.3">
      <c r="D1" t="s">
        <v>1</v>
      </c>
      <c r="I1" t="s">
        <v>25</v>
      </c>
      <c r="N1" s="1">
        <v>45889</v>
      </c>
    </row>
    <row r="2" spans="1:19" x14ac:dyDescent="0.3">
      <c r="B2" t="s">
        <v>15</v>
      </c>
      <c r="D2" t="s">
        <v>4</v>
      </c>
      <c r="E2" t="s">
        <v>5</v>
      </c>
      <c r="F2" t="s">
        <v>6</v>
      </c>
      <c r="G2" t="s">
        <v>7</v>
      </c>
      <c r="I2" t="s">
        <v>2</v>
      </c>
      <c r="J2" t="s">
        <v>3</v>
      </c>
      <c r="K2" t="s">
        <v>28</v>
      </c>
      <c r="N2" t="s">
        <v>9</v>
      </c>
      <c r="O2" t="s">
        <v>10</v>
      </c>
      <c r="P2" t="s">
        <v>13</v>
      </c>
      <c r="Q2" t="s">
        <v>12</v>
      </c>
      <c r="R2" t="s">
        <v>11</v>
      </c>
      <c r="S2" t="s">
        <v>14</v>
      </c>
    </row>
    <row r="4" spans="1:19" x14ac:dyDescent="0.3">
      <c r="A4" t="s">
        <v>0</v>
      </c>
      <c r="B4" t="s">
        <v>17</v>
      </c>
      <c r="C4" t="s">
        <v>18</v>
      </c>
      <c r="D4">
        <v>1.92</v>
      </c>
      <c r="E4">
        <v>2</v>
      </c>
      <c r="F4">
        <v>19</v>
      </c>
      <c r="G4">
        <v>717</v>
      </c>
      <c r="I4" s="2" t="s">
        <v>26</v>
      </c>
      <c r="J4" s="2" t="s">
        <v>27</v>
      </c>
      <c r="K4">
        <v>50</v>
      </c>
      <c r="N4">
        <v>1.01E-2</v>
      </c>
      <c r="P4">
        <v>25400</v>
      </c>
      <c r="Q4">
        <v>0.01</v>
      </c>
      <c r="S4">
        <v>26366</v>
      </c>
    </row>
    <row r="5" spans="1:19" x14ac:dyDescent="0.3">
      <c r="A5" t="s">
        <v>8</v>
      </c>
      <c r="B5" t="s">
        <v>16</v>
      </c>
      <c r="C5" t="s">
        <v>18</v>
      </c>
      <c r="D5">
        <v>2.04</v>
      </c>
      <c r="E5">
        <v>2.2999999999999998</v>
      </c>
      <c r="F5">
        <v>17</v>
      </c>
      <c r="G5">
        <v>711</v>
      </c>
      <c r="I5" s="2" t="s">
        <v>29</v>
      </c>
      <c r="J5" t="s">
        <v>30</v>
      </c>
      <c r="K5">
        <v>13</v>
      </c>
      <c r="N5">
        <v>8.5000000000000006E-3</v>
      </c>
      <c r="O5">
        <v>7.6E-3</v>
      </c>
      <c r="P5">
        <v>54100</v>
      </c>
      <c r="Q5">
        <v>8.3999999999999995E-3</v>
      </c>
      <c r="R5">
        <v>7.4999999999999997E-3</v>
      </c>
      <c r="S5">
        <v>19999</v>
      </c>
    </row>
    <row r="6" spans="1:19" x14ac:dyDescent="0.3">
      <c r="A6" t="s">
        <v>19</v>
      </c>
      <c r="B6" t="s">
        <v>20</v>
      </c>
      <c r="C6" t="s">
        <v>21</v>
      </c>
      <c r="D6" t="s">
        <v>22</v>
      </c>
      <c r="I6" s="2" t="s">
        <v>31</v>
      </c>
      <c r="J6" t="s">
        <v>32</v>
      </c>
      <c r="K6">
        <v>75</v>
      </c>
      <c r="N6">
        <v>9.7000000000000003E-3</v>
      </c>
      <c r="O6">
        <v>8.8000000000000005E-3</v>
      </c>
      <c r="P6">
        <v>3200</v>
      </c>
      <c r="Q6">
        <v>9.2999999999999992E-3</v>
      </c>
      <c r="R6">
        <v>8.2000000000000007E-3</v>
      </c>
      <c r="S6">
        <v>603</v>
      </c>
    </row>
    <row r="7" spans="1:19" x14ac:dyDescent="0.3">
      <c r="A7" t="s">
        <v>23</v>
      </c>
      <c r="B7" t="s">
        <v>24</v>
      </c>
      <c r="C7" t="s">
        <v>21</v>
      </c>
      <c r="D7" t="s">
        <v>22</v>
      </c>
      <c r="I7" s="2" t="s">
        <v>33</v>
      </c>
      <c r="J7" t="s">
        <v>34</v>
      </c>
      <c r="K7">
        <v>71</v>
      </c>
      <c r="N7">
        <v>1.04E-2</v>
      </c>
      <c r="P7">
        <v>8420</v>
      </c>
      <c r="Q7">
        <v>9.9000000000000008E-3</v>
      </c>
      <c r="S7">
        <v>1098</v>
      </c>
    </row>
    <row r="14" spans="1:19" x14ac:dyDescent="0.3">
      <c r="D14">
        <v>82</v>
      </c>
      <c r="E14" t="s">
        <v>35</v>
      </c>
    </row>
    <row r="15" spans="1:19" x14ac:dyDescent="0.3">
      <c r="D15">
        <v>3.3</v>
      </c>
      <c r="E15" t="s">
        <v>36</v>
      </c>
    </row>
    <row r="16" spans="1:19" x14ac:dyDescent="0.3">
      <c r="D16">
        <f>D15/D14/1000*1000000</f>
        <v>40.243902439024389</v>
      </c>
      <c r="E16" t="s">
        <v>37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873B-532F-4F22-AE9E-6CB617F437F1}">
  <dimension ref="A1:E61"/>
  <sheetViews>
    <sheetView topLeftCell="A4" workbookViewId="0">
      <selection activeCell="D54" sqref="D54"/>
    </sheetView>
  </sheetViews>
  <sheetFormatPr defaultRowHeight="14.4" x14ac:dyDescent="0.3"/>
  <sheetData>
    <row r="1" spans="1:5" x14ac:dyDescent="0.3">
      <c r="A1" t="s">
        <v>42</v>
      </c>
      <c r="B1" t="s">
        <v>41</v>
      </c>
      <c r="C1">
        <v>325</v>
      </c>
    </row>
    <row r="2" spans="1:5" x14ac:dyDescent="0.3">
      <c r="B2" t="s">
        <v>38</v>
      </c>
      <c r="C2" t="s">
        <v>40</v>
      </c>
      <c r="D2" t="s">
        <v>39</v>
      </c>
      <c r="E2" t="s">
        <v>43</v>
      </c>
    </row>
    <row r="3" spans="1:5" x14ac:dyDescent="0.3">
      <c r="B3">
        <v>0</v>
      </c>
      <c r="C3">
        <v>0</v>
      </c>
      <c r="D3">
        <f>C3/$C$1*1000000</f>
        <v>0</v>
      </c>
      <c r="E3">
        <f>SQRT(D3)</f>
        <v>0</v>
      </c>
    </row>
    <row r="4" spans="1:5" x14ac:dyDescent="0.3">
      <c r="B4">
        <v>0.1</v>
      </c>
      <c r="C4">
        <v>0</v>
      </c>
      <c r="D4">
        <f t="shared" ref="D4:D61" si="0">C4/$C$1*1000000</f>
        <v>0</v>
      </c>
      <c r="E4">
        <f t="shared" ref="E4:E61" si="1">SQRT(D4)</f>
        <v>0</v>
      </c>
    </row>
    <row r="5" spans="1:5" x14ac:dyDescent="0.3">
      <c r="B5">
        <v>0.2</v>
      </c>
      <c r="C5">
        <v>0</v>
      </c>
      <c r="D5">
        <f t="shared" si="0"/>
        <v>0</v>
      </c>
      <c r="E5">
        <f t="shared" si="1"/>
        <v>0</v>
      </c>
    </row>
    <row r="6" spans="1:5" x14ac:dyDescent="0.3">
      <c r="B6">
        <v>0.7</v>
      </c>
      <c r="C6">
        <v>2.0000000000000001E-4</v>
      </c>
      <c r="D6">
        <f t="shared" si="0"/>
        <v>0.61538461538461542</v>
      </c>
      <c r="E6">
        <f t="shared" si="1"/>
        <v>0.78446454055273618</v>
      </c>
    </row>
    <row r="7" spans="1:5" x14ac:dyDescent="0.3">
      <c r="B7">
        <v>0.8</v>
      </c>
      <c r="C7">
        <v>2.9999999999999997E-4</v>
      </c>
      <c r="D7">
        <f t="shared" si="0"/>
        <v>0.92307692307692302</v>
      </c>
      <c r="E7">
        <f t="shared" si="1"/>
        <v>0.96076892283052273</v>
      </c>
    </row>
    <row r="8" spans="1:5" x14ac:dyDescent="0.3">
      <c r="B8">
        <v>0.9</v>
      </c>
      <c r="C8">
        <v>5.0000000000000001E-4</v>
      </c>
      <c r="D8">
        <f t="shared" si="0"/>
        <v>1.5384615384615385</v>
      </c>
      <c r="E8">
        <f t="shared" si="1"/>
        <v>1.2403473458920846</v>
      </c>
    </row>
    <row r="9" spans="1:5" x14ac:dyDescent="0.3">
      <c r="B9">
        <v>1</v>
      </c>
      <c r="C9">
        <v>5.9999999999999995E-4</v>
      </c>
      <c r="D9">
        <f t="shared" si="0"/>
        <v>1.846153846153846</v>
      </c>
      <c r="E9">
        <f t="shared" si="1"/>
        <v>1.3587324409735149</v>
      </c>
    </row>
    <row r="10" spans="1:5" x14ac:dyDescent="0.3">
      <c r="B10">
        <v>1.1000000000000001</v>
      </c>
      <c r="C10">
        <v>6.9999999999999999E-4</v>
      </c>
      <c r="D10">
        <f t="shared" si="0"/>
        <v>2.1538461538461537</v>
      </c>
      <c r="E10">
        <f t="shared" si="1"/>
        <v>1.4675987714106855</v>
      </c>
    </row>
    <row r="11" spans="1:5" x14ac:dyDescent="0.3">
      <c r="B11">
        <v>1.2</v>
      </c>
      <c r="C11">
        <v>8.9999999999999998E-4</v>
      </c>
      <c r="D11">
        <f t="shared" si="0"/>
        <v>2.7692307692307692</v>
      </c>
      <c r="E11">
        <f t="shared" si="1"/>
        <v>1.6641005886756874</v>
      </c>
    </row>
    <row r="12" spans="1:5" x14ac:dyDescent="0.3">
      <c r="B12">
        <v>1.3</v>
      </c>
      <c r="C12">
        <v>1E-3</v>
      </c>
      <c r="D12">
        <f t="shared" si="0"/>
        <v>3.0769230769230771</v>
      </c>
      <c r="E12">
        <f t="shared" si="1"/>
        <v>1.7541160386140584</v>
      </c>
    </row>
    <row r="13" spans="1:5" x14ac:dyDescent="0.3">
      <c r="B13">
        <v>1.4</v>
      </c>
      <c r="C13">
        <v>1.1999999999999999E-3</v>
      </c>
      <c r="D13">
        <f t="shared" si="0"/>
        <v>3.6923076923076921</v>
      </c>
      <c r="E13">
        <f t="shared" si="1"/>
        <v>1.9215378456610455</v>
      </c>
    </row>
    <row r="14" spans="1:5" x14ac:dyDescent="0.3">
      <c r="B14">
        <v>1.5</v>
      </c>
      <c r="C14">
        <v>1.6000000000000001E-3</v>
      </c>
      <c r="D14">
        <f t="shared" si="0"/>
        <v>4.9230769230769234</v>
      </c>
      <c r="E14">
        <f t="shared" si="1"/>
        <v>2.2188007849009166</v>
      </c>
    </row>
    <row r="15" spans="1:5" x14ac:dyDescent="0.3">
      <c r="B15">
        <v>1.6</v>
      </c>
      <c r="C15">
        <v>2.3999999999999998E-3</v>
      </c>
      <c r="D15">
        <f t="shared" si="0"/>
        <v>7.3846153846153841</v>
      </c>
      <c r="E15">
        <f t="shared" si="1"/>
        <v>2.7174648819470297</v>
      </c>
    </row>
    <row r="16" spans="1:5" x14ac:dyDescent="0.3">
      <c r="B16">
        <v>1.61</v>
      </c>
      <c r="C16">
        <v>2.5000000000000001E-3</v>
      </c>
      <c r="D16">
        <f t="shared" si="0"/>
        <v>7.6923076923076916</v>
      </c>
      <c r="E16">
        <f t="shared" si="1"/>
        <v>2.7735009811261455</v>
      </c>
    </row>
    <row r="17" spans="2:5" x14ac:dyDescent="0.3">
      <c r="B17">
        <v>1.62</v>
      </c>
      <c r="C17">
        <v>2.5999999999999999E-3</v>
      </c>
      <c r="D17">
        <f t="shared" si="0"/>
        <v>8</v>
      </c>
      <c r="E17">
        <f t="shared" si="1"/>
        <v>2.8284271247461903</v>
      </c>
    </row>
    <row r="18" spans="2:5" x14ac:dyDescent="0.3">
      <c r="B18">
        <v>1.63</v>
      </c>
      <c r="C18">
        <v>2.8E-3</v>
      </c>
      <c r="D18">
        <f t="shared" si="0"/>
        <v>8.615384615384615</v>
      </c>
      <c r="E18">
        <f t="shared" si="1"/>
        <v>2.935197542821371</v>
      </c>
    </row>
    <row r="19" spans="2:5" x14ac:dyDescent="0.3">
      <c r="B19">
        <v>1.64</v>
      </c>
      <c r="C19">
        <v>3.0000000000000001E-3</v>
      </c>
      <c r="D19">
        <f t="shared" si="0"/>
        <v>9.2307692307692299</v>
      </c>
      <c r="E19">
        <f t="shared" si="1"/>
        <v>3.0382181012509997</v>
      </c>
    </row>
    <row r="20" spans="2:5" x14ac:dyDescent="0.3">
      <c r="B20">
        <v>1.65</v>
      </c>
      <c r="C20">
        <v>3.3E-3</v>
      </c>
      <c r="D20">
        <f t="shared" si="0"/>
        <v>10.153846153846153</v>
      </c>
      <c r="E20">
        <f t="shared" si="1"/>
        <v>3.186510027262766</v>
      </c>
    </row>
    <row r="21" spans="2:5" x14ac:dyDescent="0.3">
      <c r="B21">
        <v>1.66</v>
      </c>
      <c r="C21">
        <v>3.5000000000000001E-3</v>
      </c>
      <c r="D21">
        <f t="shared" si="0"/>
        <v>10.76923076923077</v>
      </c>
      <c r="E21">
        <f t="shared" si="1"/>
        <v>3.2816506165694679</v>
      </c>
    </row>
    <row r="22" spans="2:5" x14ac:dyDescent="0.3">
      <c r="B22">
        <v>1.67</v>
      </c>
      <c r="C22">
        <v>3.8E-3</v>
      </c>
      <c r="D22">
        <f t="shared" si="0"/>
        <v>11.692307692307693</v>
      </c>
      <c r="E22">
        <f t="shared" si="1"/>
        <v>3.4194016570604417</v>
      </c>
    </row>
    <row r="23" spans="2:5" x14ac:dyDescent="0.3">
      <c r="B23">
        <v>1.68</v>
      </c>
      <c r="C23">
        <v>4.1999999999999997E-3</v>
      </c>
      <c r="D23">
        <f t="shared" si="0"/>
        <v>12.923076923076922</v>
      </c>
      <c r="E23">
        <f t="shared" si="1"/>
        <v>3.5948681370916682</v>
      </c>
    </row>
    <row r="24" spans="2:5" x14ac:dyDescent="0.3">
      <c r="B24">
        <v>1.69</v>
      </c>
      <c r="C24">
        <v>4.4999999999999997E-3</v>
      </c>
      <c r="D24">
        <f t="shared" si="0"/>
        <v>13.846153846153845</v>
      </c>
      <c r="E24">
        <f t="shared" si="1"/>
        <v>3.7210420376762534</v>
      </c>
    </row>
    <row r="25" spans="2:5" x14ac:dyDescent="0.3">
      <c r="B25">
        <v>1.7</v>
      </c>
      <c r="C25">
        <v>5.0000000000000001E-3</v>
      </c>
      <c r="D25">
        <f t="shared" si="0"/>
        <v>15.384615384615383</v>
      </c>
      <c r="E25">
        <f t="shared" si="1"/>
        <v>3.9223227027636804</v>
      </c>
    </row>
    <row r="26" spans="2:5" x14ac:dyDescent="0.3">
      <c r="B26">
        <v>1.71</v>
      </c>
      <c r="C26">
        <v>5.4000000000000003E-3</v>
      </c>
      <c r="D26">
        <f t="shared" si="0"/>
        <v>16.615384615384613</v>
      </c>
      <c r="E26">
        <f t="shared" si="1"/>
        <v>4.0761973229205442</v>
      </c>
    </row>
    <row r="27" spans="2:5" x14ac:dyDescent="0.3">
      <c r="B27">
        <v>1.72</v>
      </c>
      <c r="C27">
        <v>5.8999999999999999E-3</v>
      </c>
      <c r="D27">
        <f t="shared" si="0"/>
        <v>18.153846153846153</v>
      </c>
      <c r="E27">
        <f t="shared" si="1"/>
        <v>4.2607330535773009</v>
      </c>
    </row>
    <row r="28" spans="2:5" x14ac:dyDescent="0.3">
      <c r="B28">
        <v>1.73</v>
      </c>
      <c r="C28">
        <v>6.6E-3</v>
      </c>
      <c r="D28">
        <f t="shared" si="0"/>
        <v>20.307692307692307</v>
      </c>
      <c r="E28">
        <f t="shared" si="1"/>
        <v>4.5064056971928643</v>
      </c>
    </row>
    <row r="29" spans="2:5" x14ac:dyDescent="0.3">
      <c r="B29">
        <v>1.74</v>
      </c>
      <c r="C29">
        <v>7.1999999999999998E-3</v>
      </c>
      <c r="D29">
        <f t="shared" si="0"/>
        <v>22.153846153846153</v>
      </c>
      <c r="E29">
        <f t="shared" si="1"/>
        <v>4.7067872433164171</v>
      </c>
    </row>
    <row r="30" spans="2:5" x14ac:dyDescent="0.3">
      <c r="B30">
        <v>1.75</v>
      </c>
      <c r="C30">
        <v>8.0000000000000002E-3</v>
      </c>
      <c r="D30">
        <f t="shared" si="0"/>
        <v>24.615384615384617</v>
      </c>
      <c r="E30">
        <f t="shared" si="1"/>
        <v>4.9613893835683385</v>
      </c>
    </row>
    <row r="31" spans="2:5" x14ac:dyDescent="0.3">
      <c r="B31">
        <v>1.77</v>
      </c>
      <c r="C31">
        <v>9.9000000000000008E-3</v>
      </c>
      <c r="D31">
        <f t="shared" si="0"/>
        <v>30.461538461538463</v>
      </c>
      <c r="E31">
        <f t="shared" si="1"/>
        <v>5.5191972660467989</v>
      </c>
    </row>
    <row r="32" spans="2:5" x14ac:dyDescent="0.3">
      <c r="B32">
        <v>1.78</v>
      </c>
      <c r="C32">
        <v>1.11E-2</v>
      </c>
      <c r="D32">
        <f t="shared" si="0"/>
        <v>34.15384615384616</v>
      </c>
      <c r="E32">
        <f t="shared" si="1"/>
        <v>5.8441292040684862</v>
      </c>
    </row>
    <row r="33" spans="2:5" x14ac:dyDescent="0.3">
      <c r="B33">
        <v>1.79</v>
      </c>
      <c r="C33">
        <v>1.23E-2</v>
      </c>
      <c r="D33">
        <f t="shared" si="0"/>
        <v>37.846153846153847</v>
      </c>
      <c r="E33">
        <f t="shared" si="1"/>
        <v>6.1519227763483704</v>
      </c>
    </row>
    <row r="34" spans="2:5" x14ac:dyDescent="0.3">
      <c r="B34">
        <v>1.8</v>
      </c>
      <c r="C34">
        <v>1.4E-2</v>
      </c>
      <c r="D34">
        <f t="shared" si="0"/>
        <v>43.07692307692308</v>
      </c>
      <c r="E34">
        <f t="shared" si="1"/>
        <v>6.5633012331389358</v>
      </c>
    </row>
    <row r="35" spans="2:5" x14ac:dyDescent="0.3">
      <c r="B35">
        <v>1.81</v>
      </c>
      <c r="C35">
        <v>1.55E-2</v>
      </c>
      <c r="D35">
        <f t="shared" si="0"/>
        <v>47.692307692307693</v>
      </c>
      <c r="E35">
        <f t="shared" si="1"/>
        <v>6.9059617499887507</v>
      </c>
    </row>
    <row r="36" spans="2:5" x14ac:dyDescent="0.3">
      <c r="B36">
        <v>1.82</v>
      </c>
      <c r="C36">
        <v>1.7500000000000002E-2</v>
      </c>
      <c r="D36">
        <f t="shared" si="0"/>
        <v>53.846153846153854</v>
      </c>
      <c r="E36">
        <f t="shared" si="1"/>
        <v>7.3379938570534282</v>
      </c>
    </row>
    <row r="37" spans="2:5" x14ac:dyDescent="0.3">
      <c r="B37">
        <v>1.83</v>
      </c>
      <c r="C37">
        <v>1.9599999999999999E-2</v>
      </c>
      <c r="D37">
        <f t="shared" si="0"/>
        <v>60.307692307692307</v>
      </c>
      <c r="E37">
        <f t="shared" si="1"/>
        <v>7.7658027471532076</v>
      </c>
    </row>
    <row r="38" spans="2:5" x14ac:dyDescent="0.3">
      <c r="B38">
        <v>1.84</v>
      </c>
      <c r="C38">
        <v>2.1999999999999999E-2</v>
      </c>
      <c r="D38">
        <f t="shared" si="0"/>
        <v>67.692307692307679</v>
      </c>
      <c r="E38">
        <f t="shared" si="1"/>
        <v>8.2275335120744231</v>
      </c>
    </row>
    <row r="39" spans="2:5" x14ac:dyDescent="0.3">
      <c r="B39">
        <v>1.85</v>
      </c>
      <c r="C39">
        <v>2.47E-2</v>
      </c>
      <c r="D39">
        <f t="shared" si="0"/>
        <v>76</v>
      </c>
      <c r="E39">
        <f t="shared" si="1"/>
        <v>8.717797887081348</v>
      </c>
    </row>
    <row r="40" spans="2:5" x14ac:dyDescent="0.3">
      <c r="B40">
        <v>1.86</v>
      </c>
      <c r="C40">
        <v>2.75E-2</v>
      </c>
      <c r="D40">
        <f t="shared" si="0"/>
        <v>84.615384615384613</v>
      </c>
      <c r="E40">
        <f t="shared" si="1"/>
        <v>9.1986621100779988</v>
      </c>
    </row>
    <row r="41" spans="2:5" x14ac:dyDescent="0.3">
      <c r="B41">
        <v>1.87</v>
      </c>
      <c r="C41">
        <v>3.1199999999999999E-2</v>
      </c>
      <c r="D41">
        <f t="shared" si="0"/>
        <v>95.999999999999986</v>
      </c>
      <c r="E41">
        <f t="shared" si="1"/>
        <v>9.7979589711327115</v>
      </c>
    </row>
    <row r="42" spans="2:5" x14ac:dyDescent="0.3">
      <c r="B42">
        <v>1.88</v>
      </c>
      <c r="C42">
        <v>3.5000000000000003E-2</v>
      </c>
      <c r="D42">
        <f t="shared" si="0"/>
        <v>107.69230769230771</v>
      </c>
      <c r="E42">
        <f t="shared" si="1"/>
        <v>10.377490433255417</v>
      </c>
    </row>
    <row r="43" spans="2:5" x14ac:dyDescent="0.3">
      <c r="B43">
        <v>1.89</v>
      </c>
      <c r="C43">
        <v>3.9300000000000002E-2</v>
      </c>
      <c r="D43">
        <f t="shared" si="0"/>
        <v>120.92307692307692</v>
      </c>
      <c r="E43">
        <f t="shared" si="1"/>
        <v>10.996502940620573</v>
      </c>
    </row>
    <row r="44" spans="2:5" x14ac:dyDescent="0.3">
      <c r="B44">
        <v>1.9</v>
      </c>
      <c r="C44">
        <v>4.4299999999999999E-2</v>
      </c>
      <c r="D44">
        <f t="shared" si="0"/>
        <v>136.30769230769229</v>
      </c>
      <c r="E44">
        <f t="shared" si="1"/>
        <v>11.675088535325644</v>
      </c>
    </row>
    <row r="45" spans="2:5" x14ac:dyDescent="0.3">
      <c r="B45">
        <v>1.91</v>
      </c>
      <c r="C45">
        <v>4.9099999999999998E-2</v>
      </c>
      <c r="D45">
        <f t="shared" si="0"/>
        <v>151.07692307692307</v>
      </c>
      <c r="E45">
        <f t="shared" si="1"/>
        <v>12.291335284537766</v>
      </c>
    </row>
    <row r="46" spans="2:5" x14ac:dyDescent="0.3">
      <c r="B46">
        <v>1.92</v>
      </c>
      <c r="C46">
        <v>5.57E-2</v>
      </c>
      <c r="D46">
        <f t="shared" si="0"/>
        <v>171.38461538461539</v>
      </c>
      <c r="E46">
        <f t="shared" si="1"/>
        <v>13.091394707387574</v>
      </c>
    </row>
    <row r="47" spans="2:5" x14ac:dyDescent="0.3">
      <c r="B47">
        <v>1.93</v>
      </c>
      <c r="C47">
        <v>6.25E-2</v>
      </c>
      <c r="D47">
        <f t="shared" si="0"/>
        <v>192.30769230769232</v>
      </c>
      <c r="E47">
        <f t="shared" si="1"/>
        <v>13.867504905630728</v>
      </c>
    </row>
    <row r="48" spans="2:5" x14ac:dyDescent="0.3">
      <c r="B48">
        <v>1.94</v>
      </c>
      <c r="C48">
        <v>7.0099999999999996E-2</v>
      </c>
      <c r="D48">
        <f t="shared" si="0"/>
        <v>215.69230769230768</v>
      </c>
      <c r="E48">
        <f t="shared" si="1"/>
        <v>14.686466821271468</v>
      </c>
    </row>
    <row r="49" spans="2:5" x14ac:dyDescent="0.3">
      <c r="B49">
        <v>1.95</v>
      </c>
      <c r="C49">
        <v>0.08</v>
      </c>
      <c r="D49">
        <f t="shared" si="0"/>
        <v>246.15384615384613</v>
      </c>
      <c r="E49">
        <f t="shared" si="1"/>
        <v>15.689290811054722</v>
      </c>
    </row>
    <row r="50" spans="2:5" x14ac:dyDescent="0.3">
      <c r="B50">
        <v>1.96</v>
      </c>
      <c r="C50">
        <v>8.9499999999999996E-2</v>
      </c>
      <c r="D50">
        <f t="shared" si="0"/>
        <v>275.38461538461536</v>
      </c>
      <c r="E50">
        <f t="shared" si="1"/>
        <v>16.594716490034273</v>
      </c>
    </row>
    <row r="51" spans="2:5" x14ac:dyDescent="0.3">
      <c r="B51">
        <v>1.97</v>
      </c>
      <c r="C51">
        <v>0.1004</v>
      </c>
      <c r="D51">
        <f t="shared" si="0"/>
        <v>308.92307692307691</v>
      </c>
      <c r="E51">
        <f t="shared" si="1"/>
        <v>17.576207694581811</v>
      </c>
    </row>
    <row r="52" spans="2:5" x14ac:dyDescent="0.3">
      <c r="B52">
        <v>1.98</v>
      </c>
      <c r="C52">
        <v>0.1128</v>
      </c>
      <c r="D52">
        <f t="shared" si="0"/>
        <v>347.07692307692309</v>
      </c>
      <c r="E52">
        <f t="shared" si="1"/>
        <v>18.630000619348436</v>
      </c>
    </row>
    <row r="53" spans="2:5" x14ac:dyDescent="0.3">
      <c r="B53">
        <v>1.99</v>
      </c>
      <c r="C53">
        <v>0.127</v>
      </c>
      <c r="D53">
        <f t="shared" si="0"/>
        <v>390.76923076923077</v>
      </c>
      <c r="E53">
        <f t="shared" si="1"/>
        <v>19.767883821219478</v>
      </c>
    </row>
    <row r="54" spans="2:5" x14ac:dyDescent="0.3">
      <c r="B54">
        <v>1.9950000000000001</v>
      </c>
      <c r="C54">
        <v>0.13450000000000001</v>
      </c>
      <c r="D54">
        <f t="shared" si="0"/>
        <v>413.84615384615387</v>
      </c>
      <c r="E54">
        <f t="shared" si="1"/>
        <v>20.343209035109329</v>
      </c>
    </row>
    <row r="55" spans="2:5" x14ac:dyDescent="0.3">
      <c r="B55">
        <v>2</v>
      </c>
      <c r="C55">
        <v>0.18</v>
      </c>
      <c r="D55">
        <f t="shared" si="0"/>
        <v>553.84615384615381</v>
      </c>
      <c r="E55">
        <f t="shared" si="1"/>
        <v>23.533936216582084</v>
      </c>
    </row>
    <row r="56" spans="2:5" x14ac:dyDescent="0.3">
      <c r="B56">
        <v>2.0009999999999999</v>
      </c>
      <c r="C56">
        <v>0.28000000000000003</v>
      </c>
      <c r="D56">
        <f t="shared" si="0"/>
        <v>861.53846153846166</v>
      </c>
      <c r="E56">
        <f t="shared" si="1"/>
        <v>29.351975428213713</v>
      </c>
    </row>
    <row r="57" spans="2:5" x14ac:dyDescent="0.3">
      <c r="B57">
        <v>2.0019999999999998</v>
      </c>
      <c r="C57">
        <v>0.33</v>
      </c>
      <c r="D57">
        <f t="shared" si="0"/>
        <v>1015.3846153846155</v>
      </c>
      <c r="E57">
        <f t="shared" si="1"/>
        <v>31.865100272627661</v>
      </c>
    </row>
    <row r="58" spans="2:5" x14ac:dyDescent="0.3">
      <c r="B58">
        <v>2.0049999999999999</v>
      </c>
      <c r="C58">
        <v>0.55000000000000004</v>
      </c>
      <c r="D58">
        <f t="shared" si="0"/>
        <v>1692.3076923076924</v>
      </c>
      <c r="E58">
        <f t="shared" si="1"/>
        <v>41.137667560372115</v>
      </c>
    </row>
    <row r="59" spans="2:5" x14ac:dyDescent="0.3">
      <c r="B59">
        <v>2.0099999999999998</v>
      </c>
      <c r="C59">
        <v>0.88700000000000001</v>
      </c>
      <c r="D59">
        <f t="shared" si="0"/>
        <v>2729.2307692307695</v>
      </c>
      <c r="E59">
        <f t="shared" si="1"/>
        <v>52.242040247589578</v>
      </c>
    </row>
    <row r="60" spans="2:5" x14ac:dyDescent="0.3">
      <c r="B60">
        <v>2.02</v>
      </c>
      <c r="C60">
        <v>0.98</v>
      </c>
      <c r="D60">
        <f t="shared" si="0"/>
        <v>3015.3846153846157</v>
      </c>
      <c r="E60">
        <f t="shared" si="1"/>
        <v>54.912517838691535</v>
      </c>
    </row>
    <row r="61" spans="2:5" x14ac:dyDescent="0.3">
      <c r="B61">
        <v>2.1</v>
      </c>
      <c r="C61">
        <v>1.27</v>
      </c>
      <c r="D61">
        <f t="shared" si="0"/>
        <v>3907.6923076923072</v>
      </c>
      <c r="E61">
        <f t="shared" si="1"/>
        <v>62.51153739664629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5A5C-2AD8-4683-B661-EA8E3D8812C7}">
  <dimension ref="A1:X49"/>
  <sheetViews>
    <sheetView tabSelected="1" zoomScale="84" workbookViewId="0">
      <selection activeCell="X14" sqref="X14"/>
    </sheetView>
  </sheetViews>
  <sheetFormatPr defaultRowHeight="14.4" x14ac:dyDescent="0.3"/>
  <cols>
    <col min="1" max="1" width="9" bestFit="1" customWidth="1"/>
  </cols>
  <sheetData>
    <row r="1" spans="1:24" x14ac:dyDescent="0.3">
      <c r="A1" t="s">
        <v>44</v>
      </c>
      <c r="B1" t="s">
        <v>45</v>
      </c>
      <c r="C1" t="s">
        <v>46</v>
      </c>
    </row>
    <row r="2" spans="1:24" x14ac:dyDescent="0.3">
      <c r="A2">
        <v>1.3</v>
      </c>
      <c r="B2">
        <v>0</v>
      </c>
      <c r="C2">
        <f>SQRT(B2)</f>
        <v>0</v>
      </c>
    </row>
    <row r="3" spans="1:24" x14ac:dyDescent="0.3">
      <c r="A3">
        <v>1.4</v>
      </c>
      <c r="B3">
        <v>0.1</v>
      </c>
      <c r="C3">
        <f t="shared" ref="C3:C49" si="0">SQRT(B3)</f>
        <v>0.31622776601683794</v>
      </c>
    </row>
    <row r="4" spans="1:24" x14ac:dyDescent="0.3">
      <c r="A4">
        <v>1.5</v>
      </c>
      <c r="B4">
        <v>0.54</v>
      </c>
      <c r="C4">
        <f t="shared" si="0"/>
        <v>0.73484692283495345</v>
      </c>
    </row>
    <row r="5" spans="1:24" x14ac:dyDescent="0.3">
      <c r="A5">
        <v>1.6</v>
      </c>
      <c r="B5">
        <v>2.4900000000000002</v>
      </c>
      <c r="C5">
        <f t="shared" si="0"/>
        <v>1.57797338380595</v>
      </c>
    </row>
    <row r="6" spans="1:24" x14ac:dyDescent="0.3">
      <c r="A6">
        <v>1.7</v>
      </c>
      <c r="B6">
        <v>7.94</v>
      </c>
      <c r="C6">
        <f t="shared" si="0"/>
        <v>2.8178005607210741</v>
      </c>
    </row>
    <row r="7" spans="1:24" x14ac:dyDescent="0.3">
      <c r="A7">
        <v>1.8</v>
      </c>
      <c r="B7">
        <v>29.75</v>
      </c>
      <c r="C7">
        <f t="shared" si="0"/>
        <v>5.4543560573178569</v>
      </c>
    </row>
    <row r="8" spans="1:24" x14ac:dyDescent="0.3">
      <c r="A8">
        <v>1.83</v>
      </c>
      <c r="B8">
        <v>52.2</v>
      </c>
      <c r="C8">
        <f t="shared" si="0"/>
        <v>7.2249567472753773</v>
      </c>
    </row>
    <row r="9" spans="1:24" x14ac:dyDescent="0.3">
      <c r="A9">
        <v>1.85</v>
      </c>
      <c r="B9">
        <v>64.2</v>
      </c>
      <c r="C9">
        <f t="shared" si="0"/>
        <v>8.0124902496040527</v>
      </c>
    </row>
    <row r="10" spans="1:24" x14ac:dyDescent="0.3">
      <c r="A10">
        <v>1.9</v>
      </c>
      <c r="B10">
        <v>107.8</v>
      </c>
      <c r="C10">
        <f t="shared" si="0"/>
        <v>10.382677881933928</v>
      </c>
    </row>
    <row r="11" spans="1:24" x14ac:dyDescent="0.3">
      <c r="A11">
        <v>1.95</v>
      </c>
      <c r="B11">
        <v>219</v>
      </c>
      <c r="C11">
        <f t="shared" si="0"/>
        <v>14.798648586948742</v>
      </c>
      <c r="W11">
        <v>3.7</v>
      </c>
      <c r="X11" t="s">
        <v>36</v>
      </c>
    </row>
    <row r="12" spans="1:24" x14ac:dyDescent="0.3">
      <c r="A12">
        <v>1.96</v>
      </c>
      <c r="B12">
        <v>248</v>
      </c>
      <c r="C12">
        <f t="shared" si="0"/>
        <v>15.748015748023622</v>
      </c>
      <c r="W12">
        <v>200</v>
      </c>
      <c r="X12" t="s">
        <v>47</v>
      </c>
    </row>
    <row r="13" spans="1:24" x14ac:dyDescent="0.3">
      <c r="A13">
        <v>1.97</v>
      </c>
      <c r="B13">
        <v>278</v>
      </c>
      <c r="C13">
        <f t="shared" si="0"/>
        <v>16.673332000533065</v>
      </c>
      <c r="W13">
        <f>W11*W12/1000</f>
        <v>0.74</v>
      </c>
      <c r="X13" t="s">
        <v>48</v>
      </c>
    </row>
    <row r="14" spans="1:24" x14ac:dyDescent="0.3">
      <c r="A14">
        <v>1.98</v>
      </c>
      <c r="B14">
        <v>311</v>
      </c>
      <c r="C14">
        <f t="shared" si="0"/>
        <v>17.635192088548397</v>
      </c>
    </row>
    <row r="15" spans="1:24" x14ac:dyDescent="0.3">
      <c r="A15">
        <v>1.99</v>
      </c>
      <c r="B15">
        <v>349</v>
      </c>
      <c r="C15">
        <f t="shared" si="0"/>
        <v>18.681541692269406</v>
      </c>
    </row>
    <row r="16" spans="1:24" x14ac:dyDescent="0.3">
      <c r="A16">
        <v>2</v>
      </c>
      <c r="B16">
        <v>363</v>
      </c>
      <c r="C16">
        <f t="shared" si="0"/>
        <v>19.05255888325765</v>
      </c>
    </row>
    <row r="17" spans="1:16" x14ac:dyDescent="0.3">
      <c r="A17">
        <v>2.0499999999999998</v>
      </c>
      <c r="B17">
        <v>683</v>
      </c>
      <c r="C17">
        <f t="shared" si="0"/>
        <v>26.134268690743959</v>
      </c>
      <c r="E17">
        <v>121</v>
      </c>
      <c r="F17">
        <f>SQRT(E17)</f>
        <v>11</v>
      </c>
    </row>
    <row r="18" spans="1:16" x14ac:dyDescent="0.3">
      <c r="A18">
        <v>2.1</v>
      </c>
      <c r="B18">
        <v>1112</v>
      </c>
      <c r="C18">
        <f t="shared" si="0"/>
        <v>33.346664001066131</v>
      </c>
      <c r="E18">
        <v>646</v>
      </c>
      <c r="F18">
        <f t="shared" ref="F18:F44" si="1">SQRT(E18)</f>
        <v>25.416530054277668</v>
      </c>
    </row>
    <row r="19" spans="1:16" x14ac:dyDescent="0.3">
      <c r="A19">
        <v>2.15</v>
      </c>
      <c r="B19">
        <v>1930</v>
      </c>
      <c r="C19">
        <f t="shared" si="0"/>
        <v>43.931765272977593</v>
      </c>
      <c r="E19">
        <v>1590</v>
      </c>
      <c r="F19">
        <f t="shared" si="1"/>
        <v>39.874804074753769</v>
      </c>
    </row>
    <row r="20" spans="1:16" x14ac:dyDescent="0.3">
      <c r="A20">
        <v>2.17</v>
      </c>
      <c r="B20">
        <v>2380</v>
      </c>
      <c r="C20">
        <f t="shared" si="0"/>
        <v>48.785243670601872</v>
      </c>
      <c r="E20">
        <v>2084</v>
      </c>
      <c r="F20">
        <f t="shared" si="1"/>
        <v>45.650848842053307</v>
      </c>
    </row>
    <row r="21" spans="1:16" x14ac:dyDescent="0.3">
      <c r="A21">
        <v>2.2000000000000002</v>
      </c>
      <c r="B21">
        <v>2970</v>
      </c>
      <c r="C21">
        <f t="shared" si="0"/>
        <v>54.497706373754852</v>
      </c>
      <c r="E21">
        <v>2951</v>
      </c>
      <c r="F21">
        <f t="shared" si="1"/>
        <v>54.323107422164284</v>
      </c>
    </row>
    <row r="22" spans="1:16" x14ac:dyDescent="0.3">
      <c r="A22">
        <v>2.23</v>
      </c>
      <c r="B22">
        <v>3950</v>
      </c>
      <c r="C22">
        <f t="shared" si="0"/>
        <v>62.849025449882674</v>
      </c>
      <c r="E22">
        <v>3968</v>
      </c>
      <c r="F22">
        <f t="shared" si="1"/>
        <v>62.992062992094489</v>
      </c>
    </row>
    <row r="23" spans="1:16" x14ac:dyDescent="0.3">
      <c r="A23">
        <v>2.25</v>
      </c>
      <c r="B23">
        <v>4540</v>
      </c>
      <c r="C23">
        <f t="shared" si="0"/>
        <v>67.379522111692069</v>
      </c>
      <c r="E23">
        <v>4729</v>
      </c>
      <c r="F23">
        <f t="shared" si="1"/>
        <v>68.767724987816777</v>
      </c>
    </row>
    <row r="24" spans="1:16" x14ac:dyDescent="0.3">
      <c r="A24">
        <v>2.27</v>
      </c>
      <c r="B24">
        <v>5360</v>
      </c>
      <c r="C24">
        <f t="shared" si="0"/>
        <v>73.212020870892502</v>
      </c>
      <c r="E24">
        <v>5558</v>
      </c>
      <c r="F24">
        <f t="shared" si="1"/>
        <v>74.55199527846321</v>
      </c>
    </row>
    <row r="25" spans="1:16" x14ac:dyDescent="0.3">
      <c r="A25">
        <v>2.2999999999999998</v>
      </c>
      <c r="B25">
        <v>6630</v>
      </c>
      <c r="C25">
        <f t="shared" si="0"/>
        <v>81.424811943289129</v>
      </c>
      <c r="E25">
        <v>6926</v>
      </c>
      <c r="F25">
        <f t="shared" si="1"/>
        <v>83.222593086252729</v>
      </c>
      <c r="P25">
        <f>581.33/288.97</f>
        <v>2.0117313215904766</v>
      </c>
    </row>
    <row r="26" spans="1:16" x14ac:dyDescent="0.3">
      <c r="A26">
        <v>2.33</v>
      </c>
      <c r="B26">
        <v>8100</v>
      </c>
      <c r="C26">
        <f t="shared" si="0"/>
        <v>90</v>
      </c>
      <c r="E26">
        <v>8444</v>
      </c>
      <c r="F26">
        <f t="shared" si="1"/>
        <v>91.891240061281138</v>
      </c>
      <c r="P26">
        <f>288.97^2</f>
        <v>83503.660900000017</v>
      </c>
    </row>
    <row r="27" spans="1:16" x14ac:dyDescent="0.3">
      <c r="A27">
        <v>2.35</v>
      </c>
      <c r="B27">
        <v>9100</v>
      </c>
      <c r="C27">
        <f t="shared" si="0"/>
        <v>95.393920141694565</v>
      </c>
      <c r="E27">
        <v>9539</v>
      </c>
      <c r="F27">
        <f t="shared" si="1"/>
        <v>97.66780431646859</v>
      </c>
      <c r="P27">
        <f>P26/1000000</f>
        <v>8.3503660900000012E-2</v>
      </c>
    </row>
    <row r="28" spans="1:16" x14ac:dyDescent="0.3">
      <c r="A28">
        <v>2.37</v>
      </c>
      <c r="B28">
        <v>10300</v>
      </c>
      <c r="C28">
        <f t="shared" si="0"/>
        <v>101.48891565092219</v>
      </c>
      <c r="E28">
        <v>10702</v>
      </c>
      <c r="F28">
        <f t="shared" si="1"/>
        <v>103.45047124107265</v>
      </c>
      <c r="P28">
        <f>P27*2</f>
        <v>0.16700732180000002</v>
      </c>
    </row>
    <row r="29" spans="1:16" x14ac:dyDescent="0.3">
      <c r="A29">
        <v>2.4</v>
      </c>
      <c r="B29">
        <v>12700</v>
      </c>
      <c r="C29">
        <f t="shared" si="0"/>
        <v>112.69427669584645</v>
      </c>
      <c r="E29">
        <v>12570</v>
      </c>
      <c r="F29">
        <f t="shared" si="1"/>
        <v>112.1160113453917</v>
      </c>
    </row>
    <row r="30" spans="1:16" x14ac:dyDescent="0.3">
      <c r="A30">
        <v>2.4300000000000002</v>
      </c>
      <c r="B30">
        <v>14300</v>
      </c>
      <c r="C30">
        <f t="shared" si="0"/>
        <v>119.58260743101398</v>
      </c>
      <c r="E30">
        <v>14589</v>
      </c>
      <c r="F30">
        <f t="shared" si="1"/>
        <v>120.78493283518438</v>
      </c>
    </row>
    <row r="31" spans="1:16" x14ac:dyDescent="0.3">
      <c r="A31">
        <v>2.4500000000000002</v>
      </c>
      <c r="B31">
        <v>15750</v>
      </c>
      <c r="C31">
        <f t="shared" si="0"/>
        <v>125.49900398011133</v>
      </c>
      <c r="E31">
        <v>16019</v>
      </c>
      <c r="F31">
        <f t="shared" si="1"/>
        <v>126.56618821786489</v>
      </c>
    </row>
    <row r="32" spans="1:16" x14ac:dyDescent="0.3">
      <c r="A32">
        <v>2.4700000000000002</v>
      </c>
      <c r="B32">
        <v>17600</v>
      </c>
      <c r="C32">
        <f t="shared" si="0"/>
        <v>132.66499161421601</v>
      </c>
      <c r="E32">
        <v>17515</v>
      </c>
      <c r="F32">
        <f t="shared" si="1"/>
        <v>132.34424808052671</v>
      </c>
    </row>
    <row r="33" spans="1:6" x14ac:dyDescent="0.3">
      <c r="A33">
        <v>2.5</v>
      </c>
      <c r="B33">
        <v>20100</v>
      </c>
      <c r="C33">
        <f t="shared" si="0"/>
        <v>141.77446878757826</v>
      </c>
      <c r="E33">
        <v>19885</v>
      </c>
      <c r="F33">
        <f t="shared" si="1"/>
        <v>141.01418368376991</v>
      </c>
    </row>
    <row r="34" spans="1:6" x14ac:dyDescent="0.3">
      <c r="A34">
        <v>2.5299999999999998</v>
      </c>
      <c r="B34">
        <v>22700</v>
      </c>
      <c r="C34">
        <f t="shared" si="0"/>
        <v>150.66519173319364</v>
      </c>
      <c r="E34">
        <v>22405</v>
      </c>
      <c r="F34">
        <f t="shared" si="1"/>
        <v>149.68299836654796</v>
      </c>
    </row>
    <row r="35" spans="1:6" x14ac:dyDescent="0.3">
      <c r="A35">
        <v>2.5499999999999998</v>
      </c>
      <c r="B35">
        <v>24500</v>
      </c>
      <c r="C35">
        <f t="shared" si="0"/>
        <v>156.52475842498527</v>
      </c>
      <c r="E35">
        <v>24169</v>
      </c>
      <c r="F35">
        <f t="shared" si="1"/>
        <v>155.46382215808282</v>
      </c>
    </row>
    <row r="36" spans="1:6" x14ac:dyDescent="0.3">
      <c r="A36">
        <v>2.57</v>
      </c>
      <c r="B36">
        <v>26400</v>
      </c>
      <c r="C36">
        <f t="shared" si="0"/>
        <v>162.48076809271922</v>
      </c>
      <c r="E36">
        <v>26000</v>
      </c>
      <c r="F36">
        <f t="shared" si="1"/>
        <v>161.24515496597098</v>
      </c>
    </row>
    <row r="37" spans="1:6" x14ac:dyDescent="0.3">
      <c r="A37">
        <v>2.6</v>
      </c>
      <c r="B37">
        <v>29300</v>
      </c>
      <c r="C37">
        <f t="shared" si="0"/>
        <v>171.17242768623689</v>
      </c>
      <c r="E37">
        <v>28870</v>
      </c>
      <c r="F37">
        <f t="shared" si="1"/>
        <v>169.91174179555691</v>
      </c>
    </row>
    <row r="38" spans="1:6" x14ac:dyDescent="0.3">
      <c r="A38">
        <v>2.63</v>
      </c>
      <c r="B38">
        <v>32300</v>
      </c>
      <c r="C38">
        <f t="shared" si="0"/>
        <v>179.72200755611428</v>
      </c>
      <c r="E38">
        <v>31891</v>
      </c>
      <c r="F38">
        <f t="shared" si="1"/>
        <v>178.58051405458548</v>
      </c>
    </row>
    <row r="39" spans="1:6" x14ac:dyDescent="0.3">
      <c r="A39">
        <v>2.65</v>
      </c>
      <c r="B39">
        <v>34350</v>
      </c>
      <c r="C39">
        <f t="shared" si="0"/>
        <v>185.3375299285064</v>
      </c>
      <c r="E39">
        <v>33988</v>
      </c>
      <c r="F39">
        <f t="shared" si="1"/>
        <v>184.35834670553976</v>
      </c>
    </row>
    <row r="40" spans="1:6" x14ac:dyDescent="0.3">
      <c r="A40">
        <v>2.67</v>
      </c>
      <c r="B40">
        <v>36500</v>
      </c>
      <c r="C40">
        <f t="shared" si="0"/>
        <v>191.04973174542801</v>
      </c>
      <c r="E40">
        <v>36152</v>
      </c>
      <c r="F40">
        <f t="shared" si="1"/>
        <v>190.1367928624021</v>
      </c>
    </row>
    <row r="41" spans="1:6" x14ac:dyDescent="0.3">
      <c r="A41">
        <v>2.7</v>
      </c>
      <c r="B41">
        <v>39600</v>
      </c>
      <c r="C41">
        <f t="shared" si="0"/>
        <v>198.997487421324</v>
      </c>
      <c r="E41">
        <v>39524</v>
      </c>
      <c r="F41">
        <f t="shared" si="1"/>
        <v>198.80643852752857</v>
      </c>
    </row>
    <row r="42" spans="1:6" x14ac:dyDescent="0.3">
      <c r="A42">
        <v>2.73</v>
      </c>
      <c r="B42">
        <v>42800</v>
      </c>
      <c r="C42">
        <f t="shared" si="0"/>
        <v>206.881608655772</v>
      </c>
      <c r="E42">
        <v>43046</v>
      </c>
      <c r="F42">
        <f t="shared" si="1"/>
        <v>207.4752997346913</v>
      </c>
    </row>
    <row r="43" spans="1:6" x14ac:dyDescent="0.3">
      <c r="A43">
        <v>2.75</v>
      </c>
      <c r="B43">
        <v>45000</v>
      </c>
      <c r="C43">
        <f t="shared" si="0"/>
        <v>212.13203435596427</v>
      </c>
      <c r="E43">
        <v>45478</v>
      </c>
      <c r="F43">
        <f t="shared" si="1"/>
        <v>213.25571504651404</v>
      </c>
    </row>
    <row r="44" spans="1:6" x14ac:dyDescent="0.3">
      <c r="A44">
        <v>2.8</v>
      </c>
      <c r="B44">
        <v>56600</v>
      </c>
      <c r="C44">
        <f t="shared" si="0"/>
        <v>237.90754506740637</v>
      </c>
      <c r="E44">
        <v>51849</v>
      </c>
      <c r="F44">
        <f t="shared" si="1"/>
        <v>227.7037549097511</v>
      </c>
    </row>
    <row r="45" spans="1:6" x14ac:dyDescent="0.3">
      <c r="A45">
        <v>2.9</v>
      </c>
      <c r="B45">
        <v>70400</v>
      </c>
      <c r="C45">
        <f t="shared" si="0"/>
        <v>265.32998322843201</v>
      </c>
    </row>
    <row r="46" spans="1:6" x14ac:dyDescent="0.3">
      <c r="A46">
        <v>3</v>
      </c>
      <c r="B46">
        <v>84200</v>
      </c>
      <c r="C46">
        <f t="shared" si="0"/>
        <v>290.17236257093816</v>
      </c>
    </row>
    <row r="47" spans="1:6" x14ac:dyDescent="0.3">
      <c r="A47">
        <v>3.1</v>
      </c>
      <c r="B47">
        <v>96000</v>
      </c>
      <c r="C47">
        <f t="shared" si="0"/>
        <v>309.83866769659335</v>
      </c>
    </row>
    <row r="48" spans="1:6" x14ac:dyDescent="0.3">
      <c r="A48">
        <v>3.2</v>
      </c>
      <c r="B48">
        <v>105000</v>
      </c>
      <c r="C48">
        <f t="shared" si="0"/>
        <v>324.03703492039301</v>
      </c>
    </row>
    <row r="49" spans="1:6" x14ac:dyDescent="0.3">
      <c r="A49">
        <v>3.3</v>
      </c>
      <c r="B49">
        <v>115000</v>
      </c>
      <c r="C49">
        <f t="shared" si="0"/>
        <v>339.11649915626339</v>
      </c>
      <c r="E49">
        <v>138522</v>
      </c>
      <c r="F49">
        <f t="shared" ref="F49" si="2">SQRT(E49)</f>
        <v>372.18543765171682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Frey</dc:creator>
  <cp:lastModifiedBy>Alexandre Frey</cp:lastModifiedBy>
  <dcterms:created xsi:type="dcterms:W3CDTF">2025-08-20T19:27:13Z</dcterms:created>
  <dcterms:modified xsi:type="dcterms:W3CDTF">2025-09-09T20:06:08Z</dcterms:modified>
</cp:coreProperties>
</file>